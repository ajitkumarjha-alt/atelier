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46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42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43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44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45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4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gress chart " sheetId="1" r:id="rId4"/>
    <sheet state="hidden" name="For Sale with predecessor" sheetId="2" r:id="rId5"/>
    <sheet state="visible" name="T1-T6+Infra+MLCP" sheetId="3" r:id="rId6"/>
    <sheet state="visible" name="Details-MEP" sheetId="4" r:id="rId7"/>
    <sheet state="visible" name="Draft Dates for LEAD" sheetId="5" r:id="rId8"/>
    <sheet state="visible" name="VFC Drawing List " sheetId="6" r:id="rId9"/>
    <sheet state="visible" name="DD Drawing List " sheetId="7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</externalReferences>
  <definedNames>
    <definedName name="Decisions">#REF!</definedName>
    <definedName name="_2m_40">#REF!</definedName>
    <definedName name="namelast">#REF!</definedName>
    <definedName name="Infrakee">#REF!</definedName>
    <definedName localSheetId="1" name="s_curve">#REF!</definedName>
    <definedName localSheetId="1" name="PhaseAllocasions">#REF!</definedName>
    <definedName name="gi_25">#REF!</definedName>
    <definedName localSheetId="1" name="dConstructionPereed">#REF!</definedName>
    <definedName localSheetId="1" name="dLandownerSwitch">#REF!</definedName>
    <definedName name="HPI_IN_TRANSOM">#REF!</definedName>
    <definedName name="ValueType">#REF!</definedName>
    <definedName name="ESTIMATING_FACTORS">#REF!</definedName>
    <definedName localSheetId="1" name="ValueTipe">#REF!</definedName>
    <definedName localSheetId="1" name="reimbursable">#REF!</definedName>
    <definedName name="UserChaice">#REF!</definedName>
    <definedName name="glb_250">#REF!</definedName>
    <definedName localSheetId="1" name="fj_25">#REF!</definedName>
    <definedName name="___pg3">#REF!</definedName>
    <definedName localSheetId="1" name="DR.46">#REF!</definedName>
    <definedName name="__________ML2">#REF!</definedName>
    <definedName localSheetId="1" name="dBuildCostContingency">#REF!</definedName>
    <definedName localSheetId="1" name="A8_">#REF!</definedName>
    <definedName localSheetId="1" name="dvit">#REF!</definedName>
    <definedName name="__pg2">#REF!</definedName>
    <definedName name="_3m_250">#REF!</definedName>
    <definedName name="commission_labor">#REF!</definedName>
    <definedName name="TMAPLA">#REF!</definedName>
    <definedName name="__pg1">#REF!</definedName>
    <definedName localSheetId="1" name="Four">#REF!</definedName>
    <definedName localSheetId="1" name="gv_25">#REF!</definedName>
    <definedName name="pvc_32">#REF!</definedName>
    <definedName localSheetId="1" name="anne">#REF!</definedName>
    <definedName name="infrastructure_firstmilllion">#REF!</definedName>
    <definedName localSheetId="1" name="PlotSaleTotals">#REF!</definedName>
    <definedName localSheetId="1" name="dSalesReceipts3">#REF!</definedName>
    <definedName name="A10_">#REF!</definedName>
    <definedName name="_sep1">#REF!</definedName>
    <definedName name="_____________K85167">#REF!</definedName>
    <definedName name="cv_80">#REF!</definedName>
    <definedName name="npv_general_3rdparti">#REF!</definedName>
    <definedName name="ML">#REF!</definedName>
    <definedName localSheetId="1" name="CobstrPhasedCesg">#REF!</definedName>
    <definedName localSheetId="1" name="st_100">#REF!</definedName>
    <definedName localSheetId="1" name="_____ML2">#REF!</definedName>
    <definedName name="cv_32">#REF!</definedName>
    <definedName name="dOverallContingency">#REF!</definedName>
    <definedName localSheetId="1" name="_3m_32">#REF!</definedName>
    <definedName name="___________ML1">#REF!</definedName>
    <definedName name="base_line">#REF!</definedName>
    <definedName localSheetId="1" name="PORT_GREENWICH">#REF!</definedName>
    <definedName localSheetId="1" name="interest3">#REF!</definedName>
    <definedName name="NetFloorPlate">#REF!</definedName>
    <definedName localSheetId="1" name="labor_multiple">#REF!</definedName>
    <definedName name="BOQ">#REF!</definedName>
    <definedName name="fos">#REF!</definedName>
    <definedName name="dDesignContingency">#REF!</definedName>
    <definedName name="dMarketingVoid">#REF!</definedName>
    <definedName name="dConstructionPeriod">#REF!</definedName>
    <definedName localSheetId="1" name="glb_50">#REF!</definedName>
    <definedName name="seapacking">#REF!</definedName>
    <definedName name="tol">#REF!</definedName>
    <definedName localSheetId="1" name="AREAS_ETPC_ETP_Civil_Works">#REF!</definedName>
    <definedName name="dScMngPlotLevelInputs">#REF!</definedName>
    <definedName localSheetId="1" name="plangain3">#REF!</definedName>
    <definedName name="gv_25">#REF!</definedName>
    <definedName localSheetId="1" name="milestonestart">#REF!</definedName>
    <definedName localSheetId="1" name="___pa2">#REF!</definedName>
    <definedName name="TABLE2">#REF!</definedName>
    <definedName localSheetId="1" name="PREWKT">#REF!</definedName>
    <definedName name="quantiti">#REF!</definedName>
    <definedName name="PREVEL">#REF!</definedName>
    <definedName name="gv_300">#REF!</definedName>
    <definedName localSheetId="1" name="Firstcal">#REF!</definedName>
    <definedName name="______pg1">#REF!</definedName>
    <definedName name="shape">#REF!</definedName>
    <definedName localSheetId="1" name="PhaseKey">#REF!</definedName>
    <definedName localSheetId="1" name="HL2accom">#REF!</definedName>
    <definedName localSheetId="1" name="issuu">#REF!</definedName>
    <definedName localSheetId="1" name="PlotPhases">#REF!</definedName>
    <definedName name="dActualLandSaleCost2">#REF!</definedName>
    <definedName name="abc">#REF!</definedName>
    <definedName localSheetId="1" name="_3m_100">#REF!</definedName>
    <definedName localSheetId="1" name="pvc_300">#REF!</definedName>
    <definedName localSheetId="1" name="in_250">#REF!</definedName>
    <definedName localSheetId="1" name="______K85167">#REF!</definedName>
    <definedName localSheetId="1" name="PRINT_AREA_MI">#REF!</definedName>
    <definedName localSheetId="1" name="PurchCasts">#REF!</definedName>
    <definedName name="dSalesReceipts1">#REF!</definedName>
    <definedName localSheetId="1" name="_2m_300">#REF!</definedName>
    <definedName name="test">#REF!</definedName>
    <definedName localSheetId="1" name="JPL_PASSENGER">#REF!</definedName>
    <definedName localSheetId="1" name="dScMngPlotLevelInputs">#REF!</definedName>
    <definedName name="WIRING_OPTIONS">#REF!</definedName>
    <definedName name="Updated">#REF!</definedName>
    <definedName localSheetId="1" name="___st1">#REF!</definedName>
    <definedName localSheetId="1" name="______Mj2">#REF!</definedName>
    <definedName localSheetId="1" name="cv_200">#REF!</definedName>
    <definedName localSheetId="1" name="temp">#REF!</definedName>
    <definedName localSheetId="1" name="Plots">#REF!</definedName>
    <definedName name="____pg1">#REF!</definedName>
    <definedName localSheetId="1" name="infrastructure_threshold_c">#REF!</definedName>
    <definedName name="Title2">#REF!</definedName>
    <definedName localSheetId="1" name="blv_32">#REF!</definedName>
    <definedName localSheetId="1" name="WARDS">#REF!</definedName>
    <definedName name="dGreenRoofs">#REF!</definedName>
    <definedName name="fgf">#REF!</definedName>
    <definedName name="______ML2">#REF!</definedName>
    <definedName localSheetId="1" name="TMASCA">#REF!</definedName>
    <definedName localSheetId="1" name="bpack">#REF!</definedName>
    <definedName localSheetId="1" name="glb_300">#REF!</definedName>
    <definedName localSheetId="1" name="legal_on_leases">#REF!</definedName>
    <definedName name="topn">#REF!</definedName>
    <definedName localSheetId="1" name="schedule">#REF!</definedName>
    <definedName localSheetId="1" name="General">#REF!</definedName>
    <definedName name="___K85167">#REF!</definedName>
    <definedName localSheetId="1" name="rig">#REF!</definedName>
    <definedName name="Photo">#REF!</definedName>
    <definedName localSheetId="1" name="salmgn">#REF!</definedName>
    <definedName name="BldgPCKey">#REF!</definedName>
    <definedName localSheetId="1" name="raterisk">#REF!</definedName>
    <definedName name="CAR_AND_CARDOOR">#REF!</definedName>
    <definedName localSheetId="1" name="________Mk2">#REF!</definedName>
    <definedName name="__K85167">#REF!</definedName>
    <definedName name="___st1">#REF!</definedName>
    <definedName localSheetId="1" name="bms">#REF!</definedName>
    <definedName name="_______pg1">#REF!</definedName>
    <definedName name="stc">#REF!</definedName>
    <definedName localSheetId="1" name="cv_40">#REF!</definedName>
    <definedName localSheetId="1" name="InfraPhasedCash">#REF!</definedName>
    <definedName name="PAANT">#REF!</definedName>
    <definedName name="pg">#REF!</definedName>
    <definedName localSheetId="1" name="JCT_WORDS">#REF!</definedName>
    <definedName localSheetId="1" name="cv_32">#REF!</definedName>
    <definedName localSheetId="1" name="FHR">#REF!</definedName>
    <definedName name="______pg2">#REF!</definedName>
    <definedName localSheetId="1" name="_____________ML2">#REF!</definedName>
    <definedName localSheetId="1" name="construction">#REF!</definedName>
    <definedName name="MaxPhase">#REF!</definedName>
    <definedName name="shi">#REF!</definedName>
    <definedName localSheetId="1" name="blv_250">#REF!</definedName>
    <definedName localSheetId="1" name="sh0.6">#REF!</definedName>
    <definedName localSheetId="1" name="personel">#REF!</definedName>
    <definedName name="k1_table">#REF!</definedName>
    <definedName name="_SH5">#REF!</definedName>
    <definedName name="rig">#REF!</definedName>
    <definedName name="bua">#REF!</definedName>
    <definedName name="A9_">#REF!</definedName>
    <definedName localSheetId="1" name="ML">#REF!</definedName>
    <definedName name="UseClassDefs">#REF!</definedName>
    <definedName localSheetId="1" name="LandPhasedCash">#REF!</definedName>
    <definedName name="anne">#REF!</definedName>
    <definedName name="interest9">#REF!</definedName>
    <definedName name="AEGSCCap">#REF!</definedName>
    <definedName localSheetId="1" name="glb_65">#REF!</definedName>
    <definedName localSheetId="1" name="residual_site_value_psr">#REF!</definedName>
    <definedName localSheetId="1" name="DISCOUNT">#REF!</definedName>
    <definedName localSheetId="1" name="dvat">#REF!</definedName>
    <definedName localSheetId="1" name="______________ML2">#REF!</definedName>
    <definedName localSheetId="1" name="STOPS">#REF!</definedName>
    <definedName localSheetId="1" name="in_32">#REF!</definedName>
    <definedName localSheetId="1" name="boml1">#REF!</definedName>
    <definedName name="ENTRANCES">#REF!</definedName>
    <definedName name="g">#REF!</definedName>
    <definedName name="DELIVERY_DATE">#REF!</definedName>
    <definedName name="_____st1">#REF!</definedName>
    <definedName localSheetId="1" name="annealing">#REF!</definedName>
    <definedName name="fj_65">#REF!</definedName>
    <definedName name="_________K85167">#REF!</definedName>
    <definedName name="___pa2">#REF!</definedName>
    <definedName localSheetId="1" name="TMBPLA">#REF!</definedName>
    <definedName name="in_32">#REF!</definedName>
    <definedName localSheetId="1" name="JobID">#REF!</definedName>
    <definedName name="dPlotStartDate">#REF!</definedName>
    <definedName name="Cap21m">#REF!</definedName>
    <definedName localSheetId="1" name="fj_100">#REF!</definedName>
    <definedName localSheetId="1" name="_2m_80">#REF!</definedName>
    <definedName name="prof_fees">#REF!</definedName>
    <definedName name="QUOTATION">#REF!</definedName>
    <definedName localSheetId="1" name="_____ARD1">#REF!</definedName>
    <definedName localSheetId="1" name="HL2ehs">#REF!</definedName>
    <definedName localSheetId="1" name="dOverageRevenue">#REF!</definedName>
    <definedName name="AREAS_WH_Ware_House_Area">#REF!</definedName>
    <definedName localSheetId="1" name="tac_matl">#REF!</definedName>
    <definedName name="InfraPhasedCash">#REF!</definedName>
    <definedName name="gi_400">#REF!</definedName>
    <definedName localSheetId="1" name="BldgLetKay">#REF!</definedName>
    <definedName localSheetId="1" name="JobNo_Initials">#REF!</definedName>
    <definedName name="__________K85167">#REF!</definedName>
    <definedName localSheetId="1" name="CONVAL">#REF!</definedName>
    <definedName name="time1">#REF!</definedName>
    <definedName localSheetId="1" name="glb_150">#REF!</definedName>
    <definedName localSheetId="1" name="______ML1">#REF!</definedName>
    <definedName localSheetId="1" name="usdl">#REF!</definedName>
    <definedName name="DISCOONT">#REF!</definedName>
    <definedName localSheetId="1" name="UserChaice">#REF!</definedName>
    <definedName localSheetId="1" name="_2m_150">#REF!</definedName>
    <definedName localSheetId="1" name="DR.56">#REF!</definedName>
    <definedName localSheetId="1" name="___K85167">#REF!</definedName>
    <definedName name="_____________ML1">#REF!</definedName>
    <definedName localSheetId="1" name="_3m_300">#REF!</definedName>
    <definedName localSheetId="1" name="seapacking">#REF!</definedName>
    <definedName localSheetId="1" name="_pg3">#REF!</definedName>
    <definedName localSheetId="1" name="sh1.0">#REF!</definedName>
    <definedName localSheetId="1" name="k1_table">#REF!</definedName>
    <definedName localSheetId="1" name="Incline">#REF!</definedName>
    <definedName localSheetId="1" name="botn">#REF!</definedName>
    <definedName localSheetId="1" name="prof_fees">#REF!</definedName>
    <definedName name="WORKING">#REF!</definedName>
    <definedName localSheetId="1" name="VIT">#REF!</definedName>
    <definedName name="gv_32">#REF!</definedName>
    <definedName localSheetId="1" name="blv_200">#REF!</definedName>
    <definedName localSheetId="1" name="GE">#REF!</definedName>
    <definedName localSheetId="1" name="pvc_25">#REF!</definedName>
    <definedName name="cv_50">#REF!</definedName>
    <definedName localSheetId="1" name="HL2hoists">#REF!</definedName>
    <definedName name="_2006_2011">#REF!</definedName>
    <definedName name="________K85167">#REF!</definedName>
    <definedName name="WARKING">#REF!</definedName>
    <definedName name="SaleDatas">#REF!</definedName>
    <definedName name="cost_of_sole">#REF!</definedName>
    <definedName name="sale_costs">#REF!</definedName>
    <definedName localSheetId="1" name="Title2">#REF!</definedName>
    <definedName name="S_Curves">#REF!</definedName>
    <definedName name="blv_200">#REF!</definedName>
    <definedName name="AREAS_PR_Pipe_Racks">#REF!</definedName>
    <definedName name="AREAS_FU_Fumigation">#REF!</definedName>
    <definedName name="interest1">#REF!</definedName>
    <definedName name="baseline">#REF!</definedName>
    <definedName name="Storeys">#REF!</definedName>
    <definedName localSheetId="1" name="WIRING_OPTIONS">#REF!</definedName>
    <definedName name="_2m_200">#REF!</definedName>
    <definedName localSheetId="1" name="pvc_600">#REF!</definedName>
    <definedName localSheetId="1" name="dOtherCosts">#REF!</definedName>
    <definedName name="AREAS_PB_PROCESS_BUILDING">#REF!</definedName>
    <definedName localSheetId="1" name="st_200">#REF!</definedName>
    <definedName localSheetId="1" name="SaleCosts">#REF!</definedName>
    <definedName localSheetId="1" name="__________ML1">#REF!</definedName>
    <definedName name="gv_200">#REF!</definedName>
    <definedName localSheetId="1" name="PlotsTable">#REF!</definedName>
    <definedName name="Type2">#REF!</definedName>
    <definedName name="PRICE_QUOTATION_TABLE_PASSANGAR_MODELS">#REF!</definedName>
    <definedName localSheetId="1" name="fs">#REF!</definedName>
    <definedName localSheetId="1" name="UseCless">#REF!</definedName>
    <definedName name="cict_matl">#REF!</definedName>
    <definedName localSheetId="1" name="Type3">#REF!</definedName>
    <definedName name="boml1">#REF!</definedName>
    <definedName name="ConstrFees">#REF!</definedName>
    <definedName localSheetId="1" name="_sep1">#REF!</definedName>
    <definedName name="_pg2">#REF!</definedName>
    <definedName localSheetId="1" name="in_80">#REF!</definedName>
    <definedName name="gv_250">#REF!</definedName>
    <definedName name="_3m_25">#REF!</definedName>
    <definedName localSheetId="1" name="dDebtProviders">#REF!</definedName>
    <definedName name="blv_65">#REF!</definedName>
    <definedName localSheetId="1" name="pvc_200">#REF!</definedName>
    <definedName name="dPlotDebtSplit">#REF!</definedName>
    <definedName localSheetId="1" name="_2m_65">#REF!</definedName>
    <definedName localSheetId="1" name="PlotProfitTotals">#REF!</definedName>
    <definedName localSheetId="1" name="time3">#REF!</definedName>
    <definedName name="_pa2">#REF!</definedName>
    <definedName localSheetId="1" name="PREVEL">#REF!</definedName>
    <definedName name="_2m_150">#REF!</definedName>
    <definedName name="LandDates">#REF!</definedName>
    <definedName localSheetId="1" name="_pa2">#REF!</definedName>
    <definedName localSheetId="1" name="bcd">#REF!</definedName>
    <definedName name="fj_250">#REF!</definedName>
    <definedName localSheetId="1" name="IncomePhasedCash">#REF!</definedName>
    <definedName localSheetId="1" name="dleasingdisposalfee">#REF!</definedName>
    <definedName localSheetId="1" name="multicer">#REF!</definedName>
    <definedName localSheetId="1" name="in_200">#REF!</definedName>
    <definedName localSheetId="1" name="WIRING_OPTIANS">#REF!</definedName>
    <definedName localSheetId="1" name="work">#REF!</definedName>
    <definedName localSheetId="1" name="Group4">#REF!</definedName>
    <definedName name="FOB">#REF!</definedName>
    <definedName localSheetId="1" name="MODEL_NO">#REF!</definedName>
    <definedName localSheetId="1" name="pvc_40">#REF!</definedName>
    <definedName name="dIrrecovVAT">#REF!</definedName>
    <definedName name="BldgLetKey">#REF!</definedName>
    <definedName localSheetId="1" name="time2">#REF!</definedName>
    <definedName name="st_400">#REF!</definedName>
    <definedName name="CODE">#REF!</definedName>
    <definedName localSheetId="1" name="CARPI">#REF!</definedName>
    <definedName name="road2">#REF!</definedName>
    <definedName name="glb_40">#REF!</definedName>
    <definedName localSheetId="1" name="DEPTH">#REF!</definedName>
    <definedName localSheetId="1" name="PlotSaleTatals">#REF!</definedName>
    <definedName name="gi_40">#REF!</definedName>
    <definedName localSheetId="1" name="st_400">#REF!</definedName>
    <definedName localSheetId="1" name="structure">#REF!</definedName>
    <definedName name="dma">#REF!</definedName>
    <definedName name="_flx300">#REF!</definedName>
    <definedName name="LandPhaseKey">#REF!</definedName>
    <definedName localSheetId="1" name="glb_32">#REF!</definedName>
    <definedName name="dProfFees">#REF!</definedName>
    <definedName name="JCTMENU">#REF!</definedName>
    <definedName name="gi_250">#REF!</definedName>
    <definedName localSheetId="1" name="MarketingCosts">#REF!</definedName>
    <definedName name="AREAS_FC_Farmer_s_Conference">#REF!</definedName>
    <definedName name="gv_100">#REF!</definedName>
    <definedName name="Fixed">#REF!</definedName>
    <definedName name="AREAS_MR_TB_Milk_Reception_Tanker_s_Bay">#REF!</definedName>
    <definedName localSheetId="1" name="SaleDates">#REF!</definedName>
    <definedName name="_ML1">#REF!</definedName>
    <definedName name="blv_25">#REF!</definedName>
    <definedName name="lef">#REF!</definedName>
    <definedName name="PlotProfitTotals">#REF!</definedName>
    <definedName name="plangain1">#REF!</definedName>
    <definedName localSheetId="1" name="m">#REF!</definedName>
    <definedName localSheetId="1" name="AREAS_MTF_Milk_Tank_Foundations">#REF!</definedName>
    <definedName localSheetId="1" name="AREAS_FC_Farmer_s_Conference">#REF!</definedName>
    <definedName localSheetId="1" name="Sharehold_Ret">#REF!</definedName>
    <definedName localSheetId="1" name="_Sort">#REF!</definedName>
    <definedName localSheetId="1" name="Trendstatus">#REF!</definedName>
    <definedName localSheetId="1" name="__pg1">#REF!</definedName>
    <definedName name="_st1">#REF!</definedName>
    <definedName localSheetId="1" name="gi_100">#REF!</definedName>
    <definedName name="fj_150">#REF!</definedName>
    <definedName name="_________ML1">#REF!</definedName>
    <definedName localSheetId="1" name="_SH1">#REF!</definedName>
    <definedName name="bsm">#REF!</definedName>
    <definedName name="tame1">#REF!</definedName>
    <definedName localSheetId="1" name="quarter_number">#REF!</definedName>
    <definedName name="rect_4_415">#REF!</definedName>
    <definedName localSheetId="1" name="___pg3">#REF!</definedName>
    <definedName name="_______ML1">#REF!</definedName>
    <definedName name="dProjMgmtFee">#REF!</definedName>
    <definedName name="MMList">#REF!</definedName>
    <definedName name="raterisk">#REF!</definedName>
    <definedName localSheetId="1" name="_____ARD2">#REF!</definedName>
    <definedName localSheetId="1" name="M_S_Analysis">#REF!</definedName>
    <definedName localSheetId="1" name="blv_80">#REF!</definedName>
    <definedName name="ESTIMATING_FACTORS___FROM_JPL_TO_QUOTATION">#REF!</definedName>
    <definedName name="fj_400">#REF!</definedName>
    <definedName localSheetId="1" name="PREVAL">#REF!</definedName>
    <definedName localSheetId="1" name="gv_400">#REF!</definedName>
    <definedName name="_flx200">#REF!</definedName>
    <definedName localSheetId="1" name="DATA1">#REF!</definedName>
    <definedName name="exovhd">#REF!</definedName>
    <definedName localSheetId="1" name="dPlotDebtInterestRates">#REF!</definedName>
    <definedName name="_SH2">#REF!</definedName>
    <definedName name="time2">#REF!</definedName>
    <definedName name="top">#REF!</definedName>
    <definedName localSheetId="1" name="Up_Front_Casts">#REF!</definedName>
    <definedName localSheetId="1" name="fj_400">#REF!</definedName>
    <definedName localSheetId="1" name="gv_40">#REF!</definedName>
    <definedName name="UseClessDafs">#REF!</definedName>
    <definedName name="s">#REF!</definedName>
    <definedName name="ProfitAmt">#REF!</definedName>
    <definedName localSheetId="1" name="dYield">#REF!</definedName>
    <definedName localSheetId="1" name="___ML2">#REF!</definedName>
    <definedName name="usdl">#REF!</definedName>
    <definedName localSheetId="1" name="AREAS_TY_Transformer_Yard">#REF!</definedName>
    <definedName name="dLandownerSwitch">#REF!</definedName>
    <definedName localSheetId="1" name="dPlotInterestRate">#REF!</definedName>
    <definedName localSheetId="1" name="A6_">#REF!</definedName>
    <definedName name="TotalLand">#REF!</definedName>
    <definedName name="____sep1">#REF!</definedName>
    <definedName name="devel_profit">#REF!</definedName>
    <definedName localSheetId="1" name="cv_150">#REF!</definedName>
    <definedName name="gh">#REF!</definedName>
    <definedName localSheetId="1" name="MaxLetDates">#REF!</definedName>
    <definedName localSheetId="1" name="interest1">#REF!</definedName>
    <definedName name="eirl">#REF!</definedName>
    <definedName localSheetId="1" name="rect_4_415">#REF!</definedName>
    <definedName name="____st1">#REF!</definedName>
    <definedName localSheetId="1" name="______st1">#REF!</definedName>
    <definedName localSheetId="1" name="Input">#REF!</definedName>
    <definedName name="dPlotEquityProviders">#REF!</definedName>
    <definedName localSheetId="1" name="DATA3">#REF!</definedName>
    <definedName localSheetId="1" name="CODE">#REF!</definedName>
    <definedName name="s_carve">#REF!</definedName>
    <definedName name="labor_multplee">#REF!</definedName>
    <definedName name="LandAmounts">#REF!</definedName>
    <definedName localSheetId="1" name="____st1">#REF!</definedName>
    <definedName name="PhaseIIa_space_max">#REF!</definedName>
    <definedName name="Sharehold_Ret">#REF!</definedName>
    <definedName name="site_prep">#REF!</definedName>
    <definedName localSheetId="1" name="RBM">#REF!</definedName>
    <definedName name="gi_65">#REF!</definedName>
    <definedName localSheetId="1" name="EXIT">#REF!</definedName>
    <definedName name="cant">#REF!</definedName>
    <definedName localSheetId="1" name="FBO">#REF!</definedName>
    <definedName localSheetId="1" name="th">#REF!</definedName>
    <definedName localSheetId="1" name="exit_cap">#REF!</definedName>
    <definedName name="h">#REF!</definedName>
    <definedName name="fixedwords">#REF!</definedName>
    <definedName name="income">#REF!</definedName>
    <definedName name="cost_of_sale">#REF!</definedName>
    <definedName localSheetId="1" name="checked">#REF!</definedName>
    <definedName localSheetId="1" name="EH2ehs">#REF!</definedName>
    <definedName localSheetId="1" name="___pg1">#REF!</definedName>
    <definedName name="NetFloorPlats">#REF!</definedName>
    <definedName name="phase1_space_max">#REF!</definedName>
    <definedName localSheetId="1" name="flag1">#REF!</definedName>
    <definedName name="___________ML2">#REF!</definedName>
    <definedName localSheetId="1" name="____ML2">#REF!</definedName>
    <definedName localSheetId="1" name="_____________K85167">#REF!</definedName>
    <definedName localSheetId="1" name="_flx200">#REF!</definedName>
    <definedName name="DISCOUNT">#REF!</definedName>
    <definedName localSheetId="1" name="______________ML1">#REF!</definedName>
    <definedName localSheetId="1" name="AREAS_PR_Pipe_Racks">#REF!</definedName>
    <definedName name="___________K85167">#REF!</definedName>
    <definedName localSheetId="1" name="st_40">#REF!</definedName>
    <definedName name="SPEED_TABLE">#REF!</definedName>
    <definedName localSheetId="1" name="____ARD2">#REF!</definedName>
    <definedName name="frate">#REF!</definedName>
    <definedName localSheetId="1" name="botl">#REF!</definedName>
    <definedName localSheetId="1" name="ESTIMATING_FACTORS">#REF!</definedName>
    <definedName name="BuiltIn_Print_Area___0">#REF!</definedName>
    <definedName name="checked">#REF!</definedName>
    <definedName name="dOtherConstCosts2">#REF!</definedName>
    <definedName localSheetId="1" name="Calculation">#REF!</definedName>
    <definedName name="DOW_CORNING_789_SILICONE_SEALANT">#REF!</definedName>
    <definedName name="DR.33">#REF!</definedName>
    <definedName name="rent_frea">#REF!</definedName>
    <definedName localSheetId="1" name="_____pg2">#REF!</definedName>
    <definedName name="st_300">#REF!</definedName>
    <definedName name="BldgLetKay">#REF!</definedName>
    <definedName localSheetId="1" name="dIncomingServices">#REF!</definedName>
    <definedName localSheetId="1" name="interest9">#REF!</definedName>
    <definedName name="___ML2">#REF!</definedName>
    <definedName name="dDevMarginOnValue">#REF!</definedName>
    <definedName name="cv_500">#REF!</definedName>
    <definedName name="frite">#REF!</definedName>
    <definedName localSheetId="1" name="dmi">#REF!</definedName>
    <definedName name="______ML1">#REF!</definedName>
    <definedName localSheetId="1" name="A10_">#REF!</definedName>
    <definedName localSheetId="1" name="gv_32">#REF!</definedName>
    <definedName localSheetId="1" name="_______Mh2">#REF!</definedName>
    <definedName name="cSalesPeriod">#REF!</definedName>
    <definedName localSheetId="1" name="_pg1">#REF!</definedName>
    <definedName name="______pg3">#REF!</definedName>
    <definedName name="Plot">#REF!</definedName>
    <definedName localSheetId="1" name="________ML1">#REF!</definedName>
    <definedName localSheetId="1" name="gi_80">#REF!</definedName>
    <definedName name="dlegaldisposalfee">#REF!</definedName>
    <definedName name="labor_multiple">#REF!</definedName>
    <definedName localSheetId="1" name="plangain1">#REF!</definedName>
    <definedName name="dg">#REF!</definedName>
    <definedName name="DR.46">#REF!</definedName>
    <definedName localSheetId="1" name="Print_Area_1">#REF!</definedName>
    <definedName name="dPlotUnits">#REF!</definedName>
    <definedName name="dPurchaserCosts">#REF!</definedName>
    <definedName localSheetId="1" name="MARGIN_RATE">#REF!</definedName>
    <definedName localSheetId="1" name="_2m_100">#REF!</definedName>
    <definedName localSheetId="1" name="cant">#REF!</definedName>
    <definedName localSheetId="1" name="dlegaldisposalfee">#REF!</definedName>
    <definedName localSheetId="1" name="plangain2">#REF!</definedName>
    <definedName localSheetId="1" name="Decisions">#REF!</definedName>
    <definedName localSheetId="1" name="in_100">#REF!</definedName>
    <definedName localSheetId="1" name="UseClass">#REF!</definedName>
    <definedName localSheetId="1" name="___sep1">#REF!</definedName>
    <definedName name="in_65">#REF!</definedName>
    <definedName name="_flx250">#REF!</definedName>
    <definedName localSheetId="1" name="dPlotEquityFunding">#REF!</definedName>
    <definedName name="_pg1">#REF!</definedName>
    <definedName localSheetId="1" name="rosid">#REF!</definedName>
    <definedName name="_SH3">#REF!</definedName>
    <definedName name="__st1">#REF!</definedName>
    <definedName localSheetId="1" name="dActualLandSaleCast">#REF!</definedName>
    <definedName name="ma">#REF!</definedName>
    <definedName name="dBuildCostContingenci">#REF!</definedName>
    <definedName name="gi_100">#REF!</definedName>
    <definedName localSheetId="1" name="_____pg1">#REF!</definedName>
    <definedName localSheetId="1" name="DELIVERY_DATE">#REF!</definedName>
    <definedName localSheetId="1" name="dMDLSiteDisposalCosts">#REF!</definedName>
    <definedName name="cv_40">#REF!</definedName>
    <definedName name="in_150">#REF!</definedName>
    <definedName name="__pa1">#REF!</definedName>
    <definedName name="glb_65">#REF!</definedName>
    <definedName name="___pg2">#REF!</definedName>
    <definedName name="A13_">#REF!</definedName>
    <definedName localSheetId="1" name="contingency_sum">#REF!</definedName>
    <definedName localSheetId="1" name="dFwdSaleFlag">#REF!</definedName>
    <definedName localSheetId="1" name="format">#REF!</definedName>
    <definedName localSheetId="1" name="BldgPCKey">#REF!</definedName>
    <definedName name="fso">#REF!</definedName>
    <definedName name="Excel_BuiltIn_Print_Area_1_1">#REF!</definedName>
    <definedName localSheetId="1" name="____pg1">#REF!</definedName>
    <definedName localSheetId="1" name="LP_s_Building_Costs">#REF!</definedName>
    <definedName localSheetId="1" name="site_prep">#REF!</definedName>
    <definedName name="dPlotDebtInterestRates">#REF!</definedName>
    <definedName name="JPL_PASSENGER">#REF!</definedName>
    <definedName name="Revision">#REF!</definedName>
    <definedName localSheetId="1" name="fj_300">#REF!</definedName>
    <definedName localSheetId="1" name="_3m_150">#REF!</definedName>
    <definedName name="Breaks">#REF!</definedName>
    <definedName localSheetId="1" name="in_50">#REF!</definedName>
    <definedName localSheetId="1" name="cict_matl">#REF!</definedName>
    <definedName localSheetId="1" name="ConstrPhasedCash">#REF!</definedName>
    <definedName localSheetId="1" name="PhaseIIa_space_max">#REF!</definedName>
    <definedName localSheetId="1" name="JPL_PASSANGER">#REF!</definedName>
    <definedName localSheetId="1" name="gi_40">#REF!</definedName>
    <definedName localSheetId="1" name="sh1.2">#REF!</definedName>
    <definedName name="blv_500">#REF!</definedName>
    <definedName name="IncomePhasedCash">#REF!</definedName>
    <definedName name="VIT">#REF!</definedName>
    <definedName name="rosid">#REF!</definedName>
    <definedName name="____ARD1">#REF!</definedName>
    <definedName name="PROPS">#REF!</definedName>
    <definedName localSheetId="1" name="cv_500">#REF!</definedName>
    <definedName name="_______K85167">#REF!</definedName>
    <definedName name="ifrastructure_threshold_a">#REF!</definedName>
    <definedName name="Print_Arae">#REF!</definedName>
    <definedName localSheetId="1" name="HPI_IN_TRANSOM">#REF!</definedName>
    <definedName localSheetId="1" name="PlotLandTotals">#REF!</definedName>
    <definedName localSheetId="1" name="___ML4">#REF!</definedName>
    <definedName name="HL2hoists">#REF!</definedName>
    <definedName localSheetId="1" name="dSalesTiming3">#REF!</definedName>
    <definedName name="AREAS_SY_Scrap_Yard">#REF!</definedName>
    <definedName localSheetId="1" name="prafit">#REF!</definedName>
    <definedName localSheetId="1" name="dPlotEquityProviders">#REF!</definedName>
    <definedName name="dActualLandSaleCost">#REF!</definedName>
    <definedName localSheetId="1" name="Up_Front_Costs">#REF!</definedName>
    <definedName localSheetId="1" name="_______ML1">#REF!</definedName>
    <definedName localSheetId="1" name="st_300">#REF!</definedName>
    <definedName name="_3m_300">#REF!</definedName>
    <definedName localSheetId="1" name="___ARD1">#REF!</definedName>
    <definedName name="_Fill">#REF!</definedName>
    <definedName name="RBM">#REF!</definedName>
    <definedName localSheetId="1" name="dFeasibilityCost">#REF!</definedName>
    <definedName name="Input">#REF!</definedName>
    <definedName localSheetId="1" name="road1">#REF!</definedName>
    <definedName localSheetId="1" name="dPlotUnits">#REF!</definedName>
    <definedName localSheetId="1" name="tol">#REF!</definedName>
    <definedName localSheetId="1" name="Group2">#REF!</definedName>
    <definedName localSheetId="1" name="topl">#REF!</definedName>
    <definedName localSheetId="1" name="gi_600">#REF!</definedName>
    <definedName localSheetId="1" name="_K85167">#REF!</definedName>
    <definedName name="Hoistinputprnt">#REF!</definedName>
    <definedName localSheetId="1" name="dFitOut">#REF!</definedName>
    <definedName localSheetId="1" name="_2m_50">#REF!</definedName>
    <definedName localSheetId="1" name="HL2version">#REF!</definedName>
    <definedName localSheetId="1" name="STEP_WIDTH">#REF!</definedName>
    <definedName name="InfraKey">#REF!</definedName>
    <definedName localSheetId="1" name="s">#REF!</definedName>
    <definedName name="DATA3">#REF!</definedName>
    <definedName name="_K85167">#REF!</definedName>
    <definedName name="CobstrPhasedCesg">#REF!</definedName>
    <definedName name="_________ML2">#REF!</definedName>
    <definedName localSheetId="1" name="______________K85167">#REF!</definedName>
    <definedName localSheetId="1" name="dDevMarginOnValue">#REF!</definedName>
    <definedName localSheetId="1" name="___pa1">#REF!</definedName>
    <definedName localSheetId="1" name="A7_">#REF!</definedName>
    <definedName localSheetId="1" name="_Fill">#REF!</definedName>
    <definedName localSheetId="1" name="NetFloorPlate">#REF!</definedName>
    <definedName localSheetId="1" name="infrastructure_threshold_d">#REF!</definedName>
    <definedName name="dFwdSaleFlag">#REF!</definedName>
    <definedName name="dCapitalValueRent">#REF!</definedName>
    <definedName name="DisposalPhasedCash">#REF!</definedName>
    <definedName localSheetId="1" name="AREAS_CS_Chemical_Store">#REF!</definedName>
    <definedName localSheetId="1" name="dActualLandSaleCost">#REF!</definedName>
    <definedName name="temp">#REF!</definedName>
    <definedName name="s_curve">#REF!</definedName>
    <definedName localSheetId="1" name="_SH3">#REF!</definedName>
    <definedName name="contingency">#REF!</definedName>
    <definedName localSheetId="1" name="AREAS_GP_Guard_Posts">#REF!</definedName>
    <definedName name="ProfFees">#REF!</definedName>
    <definedName name="gv_65">#REF!</definedName>
    <definedName name="_2m_25">#REF!</definedName>
    <definedName localSheetId="1" name="pvc_50">#REF!</definedName>
    <definedName localSheetId="1" name="in_40">#REF!</definedName>
    <definedName name="dleasingdisposalfee">#REF!</definedName>
    <definedName name="FBO">#REF!</definedName>
    <definedName localSheetId="1" name="EntireProject">#REF!</definedName>
    <definedName localSheetId="1" name="commisiion">#REF!</definedName>
    <definedName name="SaleCosts">#REF!</definedName>
    <definedName localSheetId="1" name="MaxPhase">#REF!</definedName>
    <definedName localSheetId="1" name="landscape">#REF!</definedName>
    <definedName name="___ML4">#REF!</definedName>
    <definedName name="gv_150">#REF!</definedName>
    <definedName name="UseCless">#REF!</definedName>
    <definedName localSheetId="1" name="TMBSCA">#REF!</definedName>
    <definedName localSheetId="1" name="AREAS_SR_2_Security_Room___2">#REF!</definedName>
    <definedName localSheetId="1" name="gi_32">#REF!</definedName>
    <definedName localSheetId="1" name="SundryPhasedCash">#REF!</definedName>
    <definedName name="FF">#REF!</definedName>
    <definedName localSheetId="1" name="Staircase2">#REF!</definedName>
    <definedName name="project">#REF!</definedName>
    <definedName name="gv_400">#REF!</definedName>
    <definedName localSheetId="1" name="_______st1">#REF!</definedName>
    <definedName localSheetId="1" name="LettingCosts">#REF!</definedName>
    <definedName name="botl">#REF!</definedName>
    <definedName localSheetId="1" name="PhaseInput">#REF!</definedName>
    <definedName name="interest2">#REF!</definedName>
    <definedName name="InvSaleCosts">#REF!</definedName>
    <definedName name="A8_">#REF!</definedName>
    <definedName name="pvc_40">#REF!</definedName>
    <definedName name="STEP">#REF!</definedName>
    <definedName name="LettingCosts">#REF!</definedName>
    <definedName localSheetId="1" name="cv_80">#REF!</definedName>
    <definedName localSheetId="1" name="____________K85167">#REF!</definedName>
    <definedName name="dYield">#REF!</definedName>
    <definedName localSheetId="1" name="Updited">#REF!</definedName>
    <definedName localSheetId="1" name="____________ML1">#REF!</definedName>
    <definedName name="AREAS_TY_Transformer_Yard">#REF!</definedName>
    <definedName localSheetId="1" name="hvacrates">#REF!</definedName>
    <definedName name="CONWKJ">#REF!</definedName>
    <definedName name="devel_period">#REF!</definedName>
    <definedName name="cdcf_matl">#REF!</definedName>
    <definedName name="interest10">#REF!</definedName>
    <definedName name="Status">#REF!</definedName>
    <definedName localSheetId="1" name="________ML2">#REF!</definedName>
    <definedName name="issue">#REF!</definedName>
    <definedName name="JCT_WOODS">#REF!</definedName>
    <definedName name="sh1.2">#REF!</definedName>
    <definedName localSheetId="1" name="_flx300">#REF!</definedName>
    <definedName name="TMBSCA">#REF!</definedName>
    <definedName name="work">#REF!</definedName>
    <definedName localSheetId="1" name="___ML1">#REF!</definedName>
    <definedName localSheetId="1" name="fj_250">#REF!</definedName>
    <definedName name="A1_">#REF!</definedName>
    <definedName localSheetId="1" name="Tot_Ir">#REF!</definedName>
    <definedName localSheetId="1" name="special_casts">#REF!</definedName>
    <definedName name="st_200">#REF!</definedName>
    <definedName name="LetPhasedCash">#REF!</definedName>
    <definedName localSheetId="1" name="interest">#REF!</definedName>
    <definedName localSheetId="1" name="dPlotDebtSplit">#REF!</definedName>
    <definedName localSheetId="1" name="_2m_200">#REF!</definedName>
    <definedName localSheetId="1" name="RISE">#REF!</definedName>
    <definedName name="in_40">#REF!</definedName>
    <definedName name="____________K85167">#REF!</definedName>
    <definedName name="Group3">#REF!</definedName>
    <definedName name="dOtherConstCosts1">#REF!</definedName>
    <definedName localSheetId="1" name="DisposalPhasedCash">#REF!</definedName>
    <definedName localSheetId="1" name="_ML2">#REF!</definedName>
    <definedName name="________ML2">#REF!</definedName>
    <definedName localSheetId="1" name="glb_25">#REF!</definedName>
    <definedName localSheetId="1" name="milestonestort">#REF!</definedName>
    <definedName name="glb_80">#REF!</definedName>
    <definedName localSheetId="1" name="ProfitPcent">#REF!</definedName>
    <definedName localSheetId="1" name="ENTRANCES">#REF!</definedName>
    <definedName localSheetId="1" name="AREAS_GA_General_Area___Overall">#REF!</definedName>
    <definedName localSheetId="1" name="bs">#REF!</definedName>
    <definedName name="__ML1">#REF!</definedName>
    <definedName localSheetId="1" name="PhaseIIb_space_max">#REF!</definedName>
    <definedName localSheetId="1" name="h">#REF!</definedName>
    <definedName name="pvc_400">#REF!</definedName>
    <definedName localSheetId="1" name="infrastructure_firstmilllion">#REF!</definedName>
    <definedName name="pvc_50">#REF!</definedName>
    <definedName localSheetId="1" name="dGreenRoofs">#REF!</definedName>
    <definedName name="options">#REF!</definedName>
    <definedName localSheetId="1" name="LOAD">#REF!</definedName>
    <definedName name="fsg">#REF!</definedName>
    <definedName name="personel">#REF!</definedName>
    <definedName localSheetId="1" name="PCC">#REF!</definedName>
    <definedName name="AllCols">#REF!</definedName>
    <definedName name="dOtherRevenue">#REF!</definedName>
    <definedName name="quarter_number">#REF!</definedName>
    <definedName name="Sdate">#REF!</definedName>
    <definedName name="LandPhasedCash">#REF!</definedName>
    <definedName name="nt">#REF!</definedName>
    <definedName localSheetId="1" name="frite">#REF!</definedName>
    <definedName localSheetId="1" name="CAR_AND_CARDOOR">#REF!</definedName>
    <definedName localSheetId="1" name="_________ML1">#REF!</definedName>
    <definedName localSheetId="1" name="aaaa">#REF!</definedName>
    <definedName localSheetId="1" name="Excel_BuiltIn_Print_Area_1_1">#REF!</definedName>
    <definedName name="Rooms">#REF!</definedName>
    <definedName name="PREWKS">#REF!</definedName>
    <definedName localSheetId="1" name="WORDS">#REF!</definedName>
    <definedName name="summary">#REF!</definedName>
    <definedName localSheetId="1" name="shi">#REF!</definedName>
    <definedName localSheetId="1" name="str">#REF!</definedName>
    <definedName name="MAZI">#REF!</definedName>
    <definedName name="_ML2">#REF!</definedName>
    <definedName name="cv_200">#REF!</definedName>
    <definedName name="am">#REF!</definedName>
    <definedName name="aaaa">#REF!</definedName>
    <definedName localSheetId="1" name="dPlotEquityReturnRates">#REF!</definedName>
    <definedName name="_Key1">#REF!</definedName>
    <definedName localSheetId="1" name="dOtherRevenue">#REF!</definedName>
    <definedName localSheetId="1" name="edited">#REF!</definedName>
    <definedName name="_____pg2">#REF!</definedName>
    <definedName name="HL2accam">#REF!</definedName>
    <definedName localSheetId="1" name="dMarketingVoid">#REF!</definedName>
    <definedName localSheetId="1" name="Type1">#REF!</definedName>
    <definedName localSheetId="1" name="pvc_65">#REF!</definedName>
    <definedName name="pvc_100">#REF!</definedName>
    <definedName localSheetId="1" name="_pg2">#REF!</definedName>
    <definedName name="_2m_80">#REF!</definedName>
    <definedName localSheetId="1" name="_ARD1">#REF!</definedName>
    <definedName localSheetId="1" name="dSalesReceipts2">#REF!</definedName>
    <definedName localSheetId="1" name="_pa1">#REF!</definedName>
    <definedName localSheetId="1" name="_SH2">#REF!</definedName>
    <definedName localSheetId="1" name="bf">#REF!</definedName>
    <definedName localSheetId="1" name="glb_80">#REF!</definedName>
    <definedName name="in_100">#REF!</definedName>
    <definedName name="_____ARD1">#REF!</definedName>
    <definedName name="blv_32">#REF!</definedName>
    <definedName name="TEI">#REF!</definedName>
    <definedName localSheetId="1" name="_2006_2011">#REF!</definedName>
    <definedName localSheetId="1" name="dq">#REF!</definedName>
    <definedName name="botl1">#REF!</definedName>
    <definedName name="time4">#REF!</definedName>
    <definedName name="Pane2">#REF!</definedName>
    <definedName name="ft">#REF!</definedName>
    <definedName name="exit_cap">#REF!</definedName>
    <definedName name="end">#REF!</definedName>
    <definedName localSheetId="1" name="ConstrFees">#REF!</definedName>
    <definedName name="Tier2.">#REF!</definedName>
    <definedName localSheetId="1" name="st_500">#REF!</definedName>
    <definedName localSheetId="1" name="dLeadInPeriod">#REF!</definedName>
    <definedName localSheetId="1" name="StrID">#REF!</definedName>
    <definedName localSheetId="1" name="Rooms">#REF!</definedName>
    <definedName localSheetId="1" name="Photo">#REF!</definedName>
    <definedName name="dDebtProviders">#REF!</definedName>
    <definedName name="_SH4">#REF!</definedName>
    <definedName localSheetId="1" name="dGEAsqm">#REF!</definedName>
    <definedName localSheetId="1" name="designed">#REF!</definedName>
    <definedName name="CODE1">#REF!</definedName>
    <definedName localSheetId="1" name="__________K85167">#REF!</definedName>
    <definedName name="___pa1">#REF!</definedName>
    <definedName name="HL2ehs">#REF!</definedName>
    <definedName name="SUPPNo">#REF!</definedName>
    <definedName name="dLandscaping">#REF!</definedName>
    <definedName localSheetId="1" name="__________ML2">#REF!</definedName>
    <definedName name="gi_300">#REF!</definedName>
    <definedName localSheetId="1" name="dActualLandSaleCost2">#REF!</definedName>
    <definedName name="Group2">#REF!</definedName>
    <definedName localSheetId="1" name="blv_500">#REF!</definedName>
    <definedName localSheetId="1" name="HLversion">#REF!</definedName>
    <definedName localSheetId="1" name="blv_400">#REF!</definedName>
    <definedName localSheetId="1" name="Corner">#REF!</definedName>
    <definedName name="PRINT_AREA_MI">#REF!</definedName>
    <definedName name="___ARD2">#REF!</definedName>
    <definedName name="Staircase2">#REF!</definedName>
    <definedName localSheetId="1" name="ft">#REF!</definedName>
    <definedName localSheetId="1" name="_____Ml3">#REF!</definedName>
    <definedName localSheetId="1" name="ProfFees">#REF!</definedName>
    <definedName name="tac_labor">#REF!</definedName>
    <definedName localSheetId="1" name="gdv">#REF!</definedName>
    <definedName name="_Sort">#REF!</definedName>
    <definedName name="dOtherPlotCosts">#REF!</definedName>
    <definedName localSheetId="1" name="cv_65">#REF!</definedName>
    <definedName localSheetId="1" name="cv_400">#REF!</definedName>
    <definedName name="in_600">#REF!</definedName>
    <definedName name="eurl">#REF!</definedName>
    <definedName name="PASSANGER_MODELS">#REF!</definedName>
    <definedName localSheetId="1" name="contingency">#REF!</definedName>
    <definedName name="st_100">#REF!</definedName>
    <definedName localSheetId="1" name="shape">#REF!</definedName>
    <definedName name="robot">#REF!</definedName>
    <definedName name="ValueTipe">#REF!</definedName>
    <definedName localSheetId="1" name="BuiltIn_Print_Area">#REF!</definedName>
    <definedName name="PhaseAllocasions">#REF!</definedName>
    <definedName localSheetId="1" name="dNIAsqft">#REF!</definedName>
    <definedName name="annealing">#REF!</definedName>
    <definedName localSheetId="1" name="Sdate">#REF!</definedName>
    <definedName localSheetId="1" name="pvc_150">#REF!</definedName>
    <definedName name="fj_100">#REF!</definedName>
    <definedName localSheetId="1" name="FOB">#REF!</definedName>
    <definedName localSheetId="1" name="Group1">#REF!</definedName>
    <definedName name="LOCAL_COSTS">#REF!</definedName>
    <definedName name="pvc_15">#REF!</definedName>
    <definedName localSheetId="1" name="______ML2">#REF!</definedName>
    <definedName name="_3m_65">#REF!</definedName>
    <definedName localSheetId="1" name="__pg3">#REF!</definedName>
    <definedName name="sh0.8">#REF!</definedName>
    <definedName name="profit">#REF!</definedName>
    <definedName localSheetId="1" name="in_65">#REF!</definedName>
    <definedName localSheetId="1" name="usdh">#REF!</definedName>
    <definedName localSheetId="1" name="in_150">#REF!</definedName>
    <definedName localSheetId="1" name="abcd_matl">#REF!</definedName>
    <definedName name="MANMENU">#REF!</definedName>
    <definedName localSheetId="1" name="SundryPhasedCosh">#REF!</definedName>
    <definedName name="PlotLandTotals">#REF!</definedName>
    <definedName localSheetId="1" name="fh">#REF!</definedName>
    <definedName name="M_S_Analysis">#REF!</definedName>
    <definedName localSheetId="1" name="dShellCore">#REF!</definedName>
    <definedName name="prafit">#REF!</definedName>
    <definedName localSheetId="1" name="Setflag">#REF!</definedName>
    <definedName name="_______ML2">#REF!</definedName>
    <definedName name="glb_150">#REF!</definedName>
    <definedName localSheetId="1" name="boml">#REF!</definedName>
    <definedName name="PhaseInput">#REF!</definedName>
    <definedName name="Group1">#REF!</definedName>
    <definedName name="____pg3">#REF!</definedName>
    <definedName localSheetId="1" name="InfraKey">#REF!</definedName>
    <definedName localSheetId="1" name="S_Curves">#REF!</definedName>
    <definedName localSheetId="1" name="cdcf_matl">#REF!</definedName>
    <definedName name="dIncomingServices">#REF!</definedName>
    <definedName localSheetId="1" name="PRINT_ARIA_MI">#REF!</definedName>
    <definedName name="infrastructure_threshold_d">#REF!</definedName>
    <definedName localSheetId="1" name="test">#REF!</definedName>
    <definedName localSheetId="1" name="kk">#REF!</definedName>
    <definedName localSheetId="1" name="UseClassDefs">#REF!</definedName>
    <definedName name="dPlotEquitySplit">#REF!</definedName>
    <definedName name="dFeasibilityCost">#REF!</definedName>
    <definedName name="_3m_100">#REF!</definedName>
    <definedName localSheetId="1" name="AREAS_WH_Ware_House_Area">#REF!</definedName>
    <definedName name="fj_200">#REF!</definedName>
    <definedName localSheetId="1" name="Infrakee">#REF!</definedName>
    <definedName name="Firstcal">#REF!</definedName>
    <definedName localSheetId="1" name="Risk">#REF!</definedName>
    <definedName localSheetId="1" name="_ML1">#REF!</definedName>
    <definedName localSheetId="1" name="infrastructure_secondmillion">#REF!</definedName>
    <definedName localSheetId="1" name="nt">#REF!</definedName>
    <definedName localSheetId="1" name="AREAS_SR_3_Store_Room">#REF!</definedName>
    <definedName localSheetId="1" name="pvc_80">#REF!</definedName>
    <definedName name="Type1">#REF!</definedName>
    <definedName localSheetId="1" name="A13_">#REF!</definedName>
    <definedName name="EH2ehs">#REF!</definedName>
    <definedName name="___ARD1">#REF!</definedName>
    <definedName localSheetId="1" name="st_65">#REF!</definedName>
    <definedName name="dScenarioSwitch">#REF!</definedName>
    <definedName localSheetId="1" name="PurchCosts">#REF!</definedName>
    <definedName name="issuu">#REF!</definedName>
    <definedName name="WORDS">#REF!</definedName>
    <definedName localSheetId="1" name="A2_">#REF!</definedName>
    <definedName localSheetId="1" name="TotalInfra">#REF!</definedName>
    <definedName name="_2m_300">#REF!</definedName>
    <definedName localSheetId="1" name="SaleDatas">#REF!</definedName>
    <definedName name="PhaseAllocations">#REF!</definedName>
    <definedName name="gi_150">#REF!</definedName>
    <definedName localSheetId="1" name="fj_500">#REF!</definedName>
    <definedName localSheetId="1" name="UseClessDafs">#REF!</definedName>
    <definedName name="quantity">#REF!</definedName>
    <definedName localSheetId="1" name="TABLE2">#REF!</definedName>
    <definedName localSheetId="1" name="in_400">#REF!</definedName>
    <definedName localSheetId="1" name="rent_frea">#REF!</definedName>
    <definedName name="UseClass">#REF!</definedName>
    <definedName localSheetId="1" name="Priority">#REF!</definedName>
    <definedName name="lpbuild">#REF!</definedName>
    <definedName localSheetId="1" name="praject">#REF!</definedName>
    <definedName name="HLversion">#REF!</definedName>
    <definedName localSheetId="1" name="gs">#REF!</definedName>
    <definedName localSheetId="1" name="Group3">#REF!</definedName>
    <definedName localSheetId="1" name="_______pg1">#REF!</definedName>
    <definedName name="leasing_fees">#REF!</definedName>
    <definedName localSheetId="1" name="MAZI">#REF!</definedName>
    <definedName name="MAN_WOODS">#REF!</definedName>
    <definedName localSheetId="1" name="TEI">#REF!</definedName>
    <definedName name="Print_Area_1">#REF!</definedName>
    <definedName name="pvc_300">#REF!</definedName>
    <definedName localSheetId="1" name="p">#REF!</definedName>
    <definedName name="dPlotDebtFunding">#REF!</definedName>
    <definedName name="GE">#REF!</definedName>
    <definedName localSheetId="1" name="Tier2.">#REF!</definedName>
    <definedName name="cict_labor">#REF!</definedName>
    <definedName name="blv_300">#REF!</definedName>
    <definedName name="CARPI">#REF!</definedName>
    <definedName localSheetId="1" name="____sep1">#REF!</definedName>
    <definedName localSheetId="1" name="__pg2">#REF!</definedName>
    <definedName name="we">#REF!</definedName>
    <definedName localSheetId="1" name="fj_40">#REF!</definedName>
    <definedName name="schools">#REF!</definedName>
    <definedName localSheetId="1" name="docu">#REF!</definedName>
    <definedName name="MarketingCosts">#REF!</definedName>
    <definedName name="WARDS">#REF!</definedName>
    <definedName name="Columns">#REF!</definedName>
    <definedName localSheetId="1" name="CODE1">#REF!</definedName>
    <definedName localSheetId="1" name="dOtherPlotCosts">#REF!</definedName>
    <definedName localSheetId="1" name="dDesignContingency">#REF!</definedName>
    <definedName name="PhaseIIb_space_max">#REF!</definedName>
    <definedName localSheetId="1" name="STEP">#REF!</definedName>
    <definedName localSheetId="1" name="shiva">#REF!</definedName>
    <definedName name="PlotandTotals">#REF!</definedName>
    <definedName name="_2m_100">#REF!</definedName>
    <definedName name="JCTCODE">#REF!</definedName>
    <definedName localSheetId="1" name="bsm">#REF!</definedName>
    <definedName name="Trends">#REF!</definedName>
    <definedName name="local_materials">#REF!</definedName>
    <definedName name="Priority">#REF!</definedName>
    <definedName localSheetId="1" name="gv_80">#REF!</definedName>
    <definedName name="AREAS_TWW_Truck_Wheel_Wash">#REF!</definedName>
    <definedName localSheetId="1" name="_______pg2">#REF!</definedName>
    <definedName localSheetId="1" name="margin_on_labor">#REF!</definedName>
    <definedName name="pvc_200">#REF!</definedName>
    <definedName localSheetId="1" name="gv_50">#REF!</definedName>
    <definedName name="SundryPhasedCosh">#REF!</definedName>
    <definedName name="_3m_32">#REF!</definedName>
    <definedName name="Updited">#REF!</definedName>
    <definedName name="StrID">#REF!</definedName>
    <definedName name="_SH1">#REF!</definedName>
    <definedName localSheetId="1" name="LOCAL_COSTS">#REF!</definedName>
    <definedName localSheetId="1" name="robot">#REF!</definedName>
    <definedName localSheetId="1" name="blv_100">#REF!</definedName>
    <definedName name="_3m_150">#REF!</definedName>
    <definedName localSheetId="1" name="iprac">#REF!</definedName>
    <definedName localSheetId="1" name="schools">#REF!</definedName>
    <definedName name="HL2accom">#REF!</definedName>
    <definedName name="PlotSaleTatals">#REF!</definedName>
    <definedName localSheetId="1" name="end">#REF!</definedName>
    <definedName name="personal">#REF!</definedName>
    <definedName localSheetId="1" name="gi_300">#REF!</definedName>
    <definedName localSheetId="1" name="pvc_20">#REF!</definedName>
    <definedName localSheetId="1" name="pvc_400">#REF!</definedName>
    <definedName localSheetId="1" name="options">#REF!</definedName>
    <definedName localSheetId="1" name="SLOPE">#REF!</definedName>
    <definedName name="gdv">#REF!</definedName>
    <definedName localSheetId="1" name="FF">#REF!</definedName>
    <definedName localSheetId="1" name="local_materials">#REF!</definedName>
    <definedName name="_3m_200">#REF!</definedName>
    <definedName name="npv_general_3rdparty">#REF!</definedName>
    <definedName localSheetId="1" name="________K85167">#REF!</definedName>
    <definedName name="cv_250">#REF!</definedName>
    <definedName localSheetId="1" name="__ARD1">#REF!</definedName>
    <definedName localSheetId="1" name="abc">#REF!</definedName>
    <definedName name="PurchCosts">#REF!</definedName>
    <definedName localSheetId="1" name="LOCALIZATION">#REF!</definedName>
    <definedName name="bms">#REF!</definedName>
    <definedName localSheetId="1" name="dBuildCostContingenci">#REF!</definedName>
    <definedName name="str">#REF!</definedName>
    <definedName name="TMASCA">#REF!</definedName>
    <definedName name="legal_on_leases">#REF!</definedName>
    <definedName localSheetId="1" name="AREAS_CLRR_Contract_Labour_Rest_Room">#REF!</definedName>
    <definedName name="PREWKT">#REF!</definedName>
    <definedName name="fj_80">#REF!</definedName>
    <definedName name="fj_50">#REF!</definedName>
    <definedName name="___sep1">#REF!</definedName>
    <definedName name="usdh">#REF!</definedName>
    <definedName name="PlotsTable">#REF!</definedName>
    <definedName name="PlotSaleTotals">#REF!</definedName>
    <definedName name="MODEL_NO">#REF!</definedName>
    <definedName localSheetId="1" name="_____K85167">#REF!</definedName>
    <definedName localSheetId="1" name="rel">#REF!</definedName>
    <definedName name="plangain2">#REF!</definedName>
    <definedName name="_pa1">#REF!</definedName>
    <definedName name="cv_150">#REF!</definedName>
    <definedName name="build_costs">#REF!</definedName>
    <definedName name="PAINT">#REF!</definedName>
    <definedName name="QUOTE_PASSENGER">#REF!</definedName>
    <definedName name="HL2it">#REF!</definedName>
    <definedName localSheetId="1" name="namelast">#REF!</definedName>
    <definedName localSheetId="1" name="AREAS_PB_PROCESS_BUILDING">#REF!</definedName>
    <definedName name="UserChoice">#REF!</definedName>
    <definedName localSheetId="1" name="Supplier_No">#REF!</definedName>
    <definedName localSheetId="1" name="commission_labor">#REF!</definedName>
    <definedName name="AREAS_ETPC_ETP_Civil_Works">#REF!</definedName>
    <definedName localSheetId="1" name="glb_100">#REF!</definedName>
    <definedName name="sh1.0">#REF!</definedName>
    <definedName name="Hoistcalcprnt">#REF!</definedName>
    <definedName name="A6_">#REF!</definedName>
    <definedName name="PRINT_ARIA_MI">#REF!</definedName>
    <definedName name="JPL_PASSANGER">#REF!</definedName>
    <definedName localSheetId="1" name="lef">#REF!</definedName>
    <definedName name="gv_80">#REF!</definedName>
    <definedName localSheetId="1" name="exovhd">#REF!</definedName>
    <definedName localSheetId="1" name="g">#REF!</definedName>
    <definedName localSheetId="1" name="_____________ML1">#REF!</definedName>
    <definedName name="in_500">#REF!</definedName>
    <definedName localSheetId="1" name="st_32">#REF!</definedName>
    <definedName name="ABSTRACT">#REF!</definedName>
    <definedName localSheetId="1" name="pvc_32">#REF!</definedName>
    <definedName name="Group4">#REF!</definedName>
    <definedName name="Rev">#REF!</definedName>
    <definedName localSheetId="1" name="GA">#REF!</definedName>
    <definedName localSheetId="1" name="_flx250">#REF!</definedName>
    <definedName name="____K85167">#REF!</definedName>
    <definedName name="road1">#REF!</definedName>
    <definedName name="format">#REF!</definedName>
    <definedName name="sta">#REF!</definedName>
    <definedName localSheetId="1" name="Hoistcalcprnd">#REF!</definedName>
    <definedName name="HLrates">#REF!</definedName>
    <definedName name="Filtered">#REF!</definedName>
    <definedName localSheetId="1" name="dOtherConstCosts2">#REF!</definedName>
    <definedName localSheetId="1" name="__pa1">#REF!</definedName>
    <definedName localSheetId="1" name="gi_65">#REF!</definedName>
    <definedName name="SundryPhasedCash">#REF!</definedName>
    <definedName localSheetId="1" name="Cap22m">#REF!</definedName>
    <definedName localSheetId="1" name="Tier3">#REF!</definedName>
    <definedName name="BuiltIn_Print_Area">#REF!</definedName>
    <definedName name="gv_40">#REF!</definedName>
    <definedName name="MaxLetDatse">#REF!</definedName>
    <definedName name="profit1">#REF!</definedName>
    <definedName name="SLOPE">#REF!</definedName>
    <definedName localSheetId="1" name="A1_">#REF!</definedName>
    <definedName name="______Mj2">#REF!</definedName>
    <definedName localSheetId="1" name="dPlotEquitySplit">#REF!</definedName>
    <definedName name="_3m_50">#REF!</definedName>
    <definedName name="p">#REF!</definedName>
    <definedName name="FirstCol">#REF!</definedName>
    <definedName name="_______pg2">#REF!</definedName>
    <definedName name="botn">#REF!</definedName>
    <definedName name="designed">#REF!</definedName>
    <definedName name="iprac">#REF!</definedName>
    <definedName localSheetId="1" name="dMarketingFee">#REF!</definedName>
    <definedName localSheetId="1" name="SPEED">#REF!</definedName>
    <definedName localSheetId="1" name="profit">#REF!</definedName>
    <definedName localSheetId="1" name="TotalLand">#REF!</definedName>
    <definedName name="RMB">#REF!</definedName>
    <definedName localSheetId="1" name="eirl">#REF!</definedName>
    <definedName name="st_250">#REF!</definedName>
    <definedName localSheetId="1" name="dSalesReceipts1">#REF!</definedName>
    <definedName localSheetId="1" name="AREAS_UB_UTILITY_BLOCK">#REF!</definedName>
    <definedName name="infrastructure_threshold_c">#REF!</definedName>
    <definedName name="blv_100">#REF!</definedName>
    <definedName localSheetId="1" name="_2m_40">#REF!</definedName>
    <definedName name="sh0.5">#REF!</definedName>
    <definedName localSheetId="1" name="__ML2">#REF!</definedName>
    <definedName localSheetId="1" name="MMList1">#REF!</definedName>
    <definedName localSheetId="1" name="top">#REF!</definedName>
    <definedName name="dNIAsqft">#REF!</definedName>
    <definedName localSheetId="1" name="_________ML2">#REF!</definedName>
    <definedName name="Up_Front_Casts">#REF!</definedName>
    <definedName localSheetId="1" name="puck">#REF!</definedName>
    <definedName localSheetId="1" name="_3m_40">#REF!</definedName>
    <definedName localSheetId="1" name="Title1">#REF!</definedName>
    <definedName localSheetId="1" name="PASSENGER_MODELS">#REF!</definedName>
    <definedName name="dc">#REF!</definedName>
    <definedName localSheetId="1" name="____________ML2">#REF!</definedName>
    <definedName localSheetId="1" name="infrastructure_thirdmillion">#REF!</definedName>
    <definedName localSheetId="1" name="__ML1">#REF!</definedName>
    <definedName name="bf">#REF!</definedName>
    <definedName localSheetId="1" name="stc">#REF!</definedName>
    <definedName name="EH2eht">#REF!</definedName>
    <definedName localSheetId="1" name="blv_300">#REF!</definedName>
    <definedName name="milestonestort">#REF!</definedName>
    <definedName localSheetId="1" name="Hoistinputprnt">#REF!</definedName>
    <definedName name="cv_300">#REF!</definedName>
    <definedName name="Type3">#REF!</definedName>
    <definedName localSheetId="1" name="pvc_100">#REF!</definedName>
    <definedName name="st_50">#REF!</definedName>
    <definedName name="dAgentfee">#REF!</definedName>
    <definedName localSheetId="1" name="SPEED_TABLE">#REF!</definedName>
    <definedName localSheetId="1" name="lpbuild">#REF!</definedName>
    <definedName name="CONWKS">#REF!</definedName>
    <definedName localSheetId="1" name="in_300">#REF!</definedName>
    <definedName localSheetId="1" name="RMB">#REF!</definedName>
    <definedName name="annealing1">#REF!</definedName>
    <definedName localSheetId="1" name="JCTCODE">#REF!</definedName>
    <definedName localSheetId="1" name="dConstructionPeriod">#REF!</definedName>
    <definedName name="structure">#REF!</definedName>
    <definedName name="in_400">#REF!</definedName>
    <definedName localSheetId="1" name="summary">#REF!</definedName>
    <definedName name="pvc_25">#REF!</definedName>
    <definedName localSheetId="1" name="MODEL_NA">#REF!</definedName>
    <definedName localSheetId="1" name="residual_site_value_psf">#REF!</definedName>
    <definedName localSheetId="1" name="AREAS_CA_CANOPY__WAREHOUSE">#REF!</definedName>
    <definedName name="pvc_20">#REF!</definedName>
    <definedName localSheetId="1" name="hf">#REF!</definedName>
    <definedName localSheetId="1" name="infrastructure_threshold_b">#REF!</definedName>
    <definedName name="DR.56">#REF!</definedName>
    <definedName name="abcd_matl">#REF!</definedName>
    <definedName localSheetId="1" name="cSalesPeriod">#REF!</definedName>
    <definedName name="______________ML2">#REF!</definedName>
    <definedName localSheetId="1" name="___________ML2">#REF!</definedName>
    <definedName localSheetId="1" name="devel_profit">#REF!</definedName>
    <definedName name="in_200">#REF!</definedName>
    <definedName localSheetId="1" name="labor_multplee">#REF!</definedName>
    <definedName name="infrastructure_thirdmillion">#REF!</definedName>
    <definedName name="sh0.6">#REF!</definedName>
    <definedName name="infrastructure_threshold_b">#REF!</definedName>
    <definedName name="AREAS_LS_LubeOil_Stores">#REF!</definedName>
    <definedName localSheetId="1" name="Subject">#REF!</definedName>
    <definedName name="____ARD2">#REF!</definedName>
    <definedName name="fh">#REF!</definedName>
    <definedName localSheetId="1" name="LandDates">#REF!</definedName>
    <definedName localSheetId="1" name="fj_65">#REF!</definedName>
    <definedName name="MMList1">#REF!</definedName>
    <definedName name="residual_site_value_psr">#REF!</definedName>
    <definedName name="dDebtProvaders">#REF!</definedName>
    <definedName localSheetId="1" name="_____pg3">#REF!</definedName>
    <definedName localSheetId="1" name="AREAS_CIPT_Tanker_CIP_Shed">#REF!</definedName>
    <definedName localSheetId="1" name="bua">#REF!</definedName>
    <definedName name="PORT_GREENWICH">#REF!</definedName>
    <definedName localSheetId="1" name="cost_of_sale">#REF!</definedName>
    <definedName localSheetId="1" name="PROPS">#REF!</definedName>
    <definedName name="MaxLetDates">#REF!</definedName>
    <definedName localSheetId="1" name="land_npv_to_new_owner">#REF!</definedName>
    <definedName name="BuiltIn_Print_Titles">#REF!</definedName>
    <definedName name="rel">#REF!</definedName>
    <definedName localSheetId="1" name="Tot_Hr">#REF!</definedName>
    <definedName name="dvit">#REF!</definedName>
    <definedName name="______________K85167">#REF!</definedName>
    <definedName name="_2m_32">#REF!</definedName>
    <definedName name="fj_300">#REF!</definedName>
    <definedName localSheetId="1" name="sta">#REF!</definedName>
    <definedName name="tac_labar">#REF!</definedName>
    <definedName localSheetId="1" name="road2">#REF!</definedName>
    <definedName localSheetId="1" name="_2m_32">#REF!</definedName>
    <definedName localSheetId="1" name="issue">#REF!</definedName>
    <definedName name="in_300">#REF!</definedName>
    <definedName name="Corner">#REF!</definedName>
    <definedName name="__ARD2">#REF!</definedName>
    <definedName localSheetId="1" name="QUOTE_PASSENGER">#REF!</definedName>
    <definedName localSheetId="1" name="PRICE_QUOTATION_TABLE_PASSANGAR_MODELS">#REF!</definedName>
    <definedName name="Staircase">#REF!</definedName>
    <definedName localSheetId="1" name="MAN_WOODS">#REF!</definedName>
    <definedName localSheetId="1" name="A5_">#REF!</definedName>
    <definedName localSheetId="1" name="PRICE_QUOTATION_TABLE___PASSENGER_MODELS">#REF!</definedName>
    <definedName name="gv_50">#REF!</definedName>
    <definedName name="rent_free">#REF!</definedName>
    <definedName localSheetId="1" name="dLandscaping">#REF!</definedName>
    <definedName localSheetId="1" name="VAT">#REF!</definedName>
    <definedName localSheetId="1" name="npv_general_LP">#REF!</definedName>
    <definedName name="_______k86000">#REF!</definedName>
    <definedName localSheetId="1" name="fos">#REF!</definedName>
    <definedName localSheetId="1" name="dc">#REF!</definedName>
    <definedName localSheetId="1" name="Trends">#REF!</definedName>
    <definedName localSheetId="1" name="tac_labor">#REF!</definedName>
    <definedName localSheetId="1" name="fixedwords">#REF!</definedName>
    <definedName localSheetId="1" name="WARKING">#REF!</definedName>
    <definedName name="Cap22m">#REF!</definedName>
    <definedName name="DATA1">#REF!</definedName>
    <definedName localSheetId="1" name="dProfFees">#REF!</definedName>
    <definedName localSheetId="1" name="gh">#REF!</definedName>
    <definedName name="__ML2">#REF!</definedName>
    <definedName name="interest3">#REF!</definedName>
    <definedName localSheetId="1" name="dPlotStartDate">#REF!</definedName>
    <definedName name="______K85167">#REF!</definedName>
    <definedName localSheetId="1" name="blv_65">#REF!</definedName>
    <definedName localSheetId="1" name="_3m_80">#REF!</definedName>
    <definedName localSheetId="1" name="___________K85167">#REF!</definedName>
    <definedName localSheetId="1" name="dSalesTiming2">#REF!</definedName>
    <definedName name="PurchCasts">#REF!</definedName>
    <definedName name="INSTALLATION_LABOR">#REF!</definedName>
    <definedName name="Tot_Ir">#REF!</definedName>
    <definedName localSheetId="1" name="gv_250">#REF!</definedName>
    <definedName localSheetId="1" name="quantiti">#REF!</definedName>
    <definedName localSheetId="1" name="commission">#REF!</definedName>
    <definedName name="Supplier_Na">#REF!</definedName>
    <definedName localSheetId="1" name="lel">#REF!</definedName>
    <definedName name="VAT">#REF!</definedName>
    <definedName name="_____ML1">#REF!</definedName>
    <definedName name="gi_80">#REF!</definedName>
    <definedName name="______st1">#REF!</definedName>
    <definedName localSheetId="1" name="glb_200">#REF!</definedName>
    <definedName name="dNIAsqm">#REF!</definedName>
    <definedName name="dq">#REF!</definedName>
    <definedName localSheetId="1" name="Breaks">#REF!</definedName>
    <definedName localSheetId="1" name="fj_32">#REF!</definedName>
    <definedName name="Title1">#REF!</definedName>
    <definedName name="gi_600">#REF!</definedName>
    <definedName localSheetId="1" name="stb">#REF!</definedName>
    <definedName name="LP_s_Building_Costs">#REF!</definedName>
    <definedName name="dGEAsqft">#REF!</definedName>
    <definedName name="lel">#REF!</definedName>
    <definedName name="MARGIN_RATE">#REF!</definedName>
    <definedName localSheetId="1" name="WORKING">#REF!</definedName>
    <definedName name="salmgn">#REF!</definedName>
    <definedName localSheetId="1" name="we">#REF!</definedName>
    <definedName name="_pg3">#REF!</definedName>
    <definedName name="gi_32">#REF!</definedName>
    <definedName name="SaleDates">#REF!</definedName>
    <definedName name="bol">#REF!</definedName>
    <definedName localSheetId="1" name="gi_500">#REF!</definedName>
    <definedName name="in_250">#REF!</definedName>
    <definedName name="st_500">#REF!</definedName>
    <definedName name="sammary">#REF!</definedName>
    <definedName localSheetId="1" name="PAINT">#REF!</definedName>
    <definedName localSheetId="1" name="_______K85167">#REF!</definedName>
    <definedName localSheetId="1" name="special_costs">#REF!</definedName>
    <definedName localSheetId="1" name="PlotArea">#REF!</definedName>
    <definedName name="st_25">#REF!</definedName>
    <definedName localSheetId="1" name="Supplier_Na">#REF!</definedName>
    <definedName localSheetId="1" name="JCTMENU">#REF!</definedName>
    <definedName localSheetId="1" name="MANMENU">#REF!</definedName>
    <definedName name="dPlotInterestRate">#REF!</definedName>
    <definedName localSheetId="1" name="MARINE_MULTIPLE">#REF!</definedName>
    <definedName localSheetId="1" name="PASSANGER_MODELS">#REF!</definedName>
    <definedName localSheetId="1" name="ConstrFeas">#REF!</definedName>
    <definedName localSheetId="1" name="blv_150">#REF!</definedName>
    <definedName localSheetId="1" name="df">#REF!</definedName>
    <definedName localSheetId="1" name="DR.33">#REF!</definedName>
    <definedName localSheetId="1" name="st_250">#REF!</definedName>
    <definedName localSheetId="1" name="___ARD2">#REF!</definedName>
    <definedName name="Supplier_No">#REF!</definedName>
    <definedName localSheetId="1" name="ABSTRACT">#REF!</definedName>
    <definedName name="dBuildCostContingency">#REF!</definedName>
    <definedName name="xxx">#REF!</definedName>
    <definedName localSheetId="1" name="CONWKS">#REF!</definedName>
    <definedName name="pvc_250">#REF!</definedName>
    <definedName localSheetId="1" name="in_500">#REF!</definedName>
    <definedName name="Lease_rent">#REF!</definedName>
    <definedName localSheetId="1" name="gv_150">#REF!</definedName>
    <definedName localSheetId="1" name="tame1">#REF!</definedName>
    <definedName name="Carner">#REF!</definedName>
    <definedName name="__pa2">#REF!</definedName>
    <definedName name="CONVAL">#REF!</definedName>
    <definedName name="infrastructure">#REF!</definedName>
    <definedName name="____________ML2">#REF!</definedName>
    <definedName localSheetId="1" name="SURYA">#REF!</definedName>
    <definedName localSheetId="1" name="Rev">#REF!</definedName>
    <definedName localSheetId="1" name="_3m_65">#REF!</definedName>
    <definedName name="contingency_sum">#REF!</definedName>
    <definedName name="m_and_e">#REF!</definedName>
    <definedName name="dSalesReceipts3">#REF!</definedName>
    <definedName localSheetId="1" name="fso">#REF!</definedName>
    <definedName name="fj_32">#REF!</definedName>
    <definedName localSheetId="1" name="AEGSCCap">#REF!</definedName>
    <definedName localSheetId="1" name="AREAS_TWW_Truck_Wheel_Wash">#REF!</definedName>
    <definedName localSheetId="1" name="_3m_25">#REF!</definedName>
    <definedName localSheetId="1" name="AREAS_ST_Stacks_near_Utility_Buildings">#REF!</definedName>
    <definedName name="__ARD1">#REF!</definedName>
    <definedName localSheetId="1" name="cict_labor">#REF!</definedName>
    <definedName localSheetId="1" name="glb_250">#REF!</definedName>
    <definedName localSheetId="1" name="dDevCoDisposalCosts">#REF!</definedName>
    <definedName name="PCC">#REF!</definedName>
    <definedName localSheetId="1" name="rent_free">#REF!</definedName>
    <definedName name="topl">#REF!</definedName>
    <definedName localSheetId="1" name="ifrastructure_threshold_a">#REF!</definedName>
    <definedName name="cv_100">#REF!</definedName>
    <definedName localSheetId="1" name="engineers">#REF!</definedName>
    <definedName localSheetId="1" name="dPlotDebtFunding">#REF!</definedName>
    <definedName name="____ML2">#REF!</definedName>
    <definedName name="dMarketingFee">#REF!</definedName>
    <definedName localSheetId="1" name="ann">#REF!</definedName>
    <definedName name="hoisting">#REF!</definedName>
    <definedName localSheetId="1" name="dma">#REF!</definedName>
    <definedName localSheetId="1" name="dIrrecovVAT">#REF!</definedName>
    <definedName localSheetId="1" name="_SH5">#REF!</definedName>
    <definedName name="dShellCore">#REF!</definedName>
    <definedName localSheetId="1" name="bol">#REF!</definedName>
    <definedName name="___Mn2">#REF!</definedName>
    <definedName name="pvc_65">#REF!</definedName>
    <definedName localSheetId="1" name="glb_40">#REF!</definedName>
    <definedName name="pvc_600">#REF!</definedName>
    <definedName localSheetId="1" name="LOOD">#REF!</definedName>
    <definedName localSheetId="1" name="fj_80">#REF!</definedName>
    <definedName name="cv_65">#REF!</definedName>
    <definedName name="glb_100">#REF!</definedName>
    <definedName localSheetId="1" name="gv_200">#REF!</definedName>
    <definedName localSheetId="1" name="fj_50">#REF!</definedName>
    <definedName name="AREAS_CS_Chemical_Store">#REF!</definedName>
    <definedName localSheetId="1" name="_2m_250">#REF!</definedName>
    <definedName name="milestonestart">#REF!</definedName>
    <definedName localSheetId="1" name="ARD_TEST">#REF!</definedName>
    <definedName localSheetId="1" name="_3m_50">#REF!</definedName>
    <definedName localSheetId="1" name="_bol1">#REF!</definedName>
    <definedName localSheetId="1" name="rty">#REF!</definedName>
    <definedName localSheetId="1" name="xxx">#REF!</definedName>
    <definedName localSheetId="1" name="dECOHomes">#REF!</definedName>
    <definedName localSheetId="1" name="Staircase">#REF!</definedName>
    <definedName name="glb_200">#REF!</definedName>
    <definedName localSheetId="1" name="QUOTATION">#REF!</definedName>
    <definedName name="_____ARD2">#REF!</definedName>
    <definedName name="fj_25">#REF!</definedName>
    <definedName name="gv_500">#REF!</definedName>
    <definedName localSheetId="1" name="multicar">#REF!</definedName>
    <definedName localSheetId="1" name="dDevMgmtFee">#REF!</definedName>
    <definedName name="namelist">#REF!</definedName>
    <definedName localSheetId="1" name="cost_of_sole">#REF!</definedName>
    <definedName name="landscape">#REF!</definedName>
    <definedName name="blv_80">#REF!</definedName>
    <definedName name="_ARD2">#REF!</definedName>
    <definedName name="Calculation">#REF!</definedName>
    <definedName name="___pg1">#REF!</definedName>
    <definedName localSheetId="1" name="gv_100">#REF!</definedName>
    <definedName name="dPlotEquityFunding">#REF!</definedName>
    <definedName localSheetId="1" name="hoisting">#REF!</definedName>
    <definedName name="dActualLandSaleCast">#REF!</definedName>
    <definedName localSheetId="1" name="time1">#REF!</definedName>
    <definedName name="dDevMgmtFee">#REF!</definedName>
    <definedName name="boml">#REF!</definedName>
    <definedName name="Trendstatus">#REF!</definedName>
    <definedName localSheetId="1" name="sammary">#REF!</definedName>
    <definedName name="AREAS_GP_Guard_Posts">#REF!</definedName>
    <definedName localSheetId="1" name="cv_250">#REF!</definedName>
    <definedName name="dSalesCostsLegal">#REF!</definedName>
    <definedName localSheetId="1" name="_____st1">#REF!</definedName>
    <definedName name="cv_25">#REF!</definedName>
    <definedName localSheetId="1" name="AREAS_FU_Fumigation">#REF!</definedName>
    <definedName localSheetId="1" name="______pg1">#REF!</definedName>
    <definedName name="General">#REF!</definedName>
    <definedName name="SHIPPING_MULTIPLE">#REF!</definedName>
    <definedName name="A2_">#REF!</definedName>
    <definedName localSheetId="1" name="fgf">#REF!</definedName>
    <definedName localSheetId="1" name="_______ML2">#REF!</definedName>
    <definedName localSheetId="1" name="dSalesCostsLegal">#REF!</definedName>
    <definedName name="A3_">#REF!</definedName>
    <definedName localSheetId="1" name="m_and_e">#REF!</definedName>
    <definedName name="TotalInfra">#REF!</definedName>
    <definedName localSheetId="1" name="JCT_WOODS">#REF!</definedName>
    <definedName localSheetId="1" name="SHIPPING_MULTIPLE">#REF!</definedName>
    <definedName localSheetId="1" name="pvc_15">#REF!</definedName>
    <definedName name="_____pg1">#REF!</definedName>
    <definedName name="MAN_WORDS">#REF!</definedName>
    <definedName localSheetId="1" name="dAgentfee">#REF!</definedName>
    <definedName localSheetId="1" name="dGEAsqft">#REF!</definedName>
    <definedName name="hvacrates">#REF!</definedName>
    <definedName name="kj">#REF!</definedName>
    <definedName name="__________ML1">#REF!</definedName>
    <definedName name="leasing_costs">#REF!</definedName>
    <definedName name="interest">#REF!</definedName>
    <definedName name="blv_150">#REF!</definedName>
    <definedName localSheetId="1" name="TableRange">#REF!</definedName>
    <definedName name="______________ML1">#REF!</definedName>
    <definedName name="SPEED">#REF!</definedName>
    <definedName name="dLeadInPeriod">#REF!</definedName>
    <definedName name="dFitOut">#REF!</definedName>
    <definedName localSheetId="1" name="Columns">#REF!</definedName>
    <definedName localSheetId="1" name="pack">#REF!</definedName>
    <definedName name="pvc_150">#REF!</definedName>
    <definedName localSheetId="1" name="A9_">#REF!</definedName>
    <definedName localSheetId="1" name="tac_labar">#REF!</definedName>
    <definedName localSheetId="1" name="_______k86000">#REF!</definedName>
    <definedName localSheetId="1" name="topn">#REF!</definedName>
    <definedName localSheetId="1" name="_ARD2">#REF!</definedName>
    <definedName localSheetId="1" name="ProfitAmt">#REF!</definedName>
    <definedName name="pvc_80">#REF!</definedName>
    <definedName localSheetId="1" name="_2m_25">#REF!</definedName>
    <definedName name="margin_on_labor">#REF!</definedName>
    <definedName name="in_25">#REF!</definedName>
    <definedName localSheetId="1" name="Plot">#REF!</definedName>
    <definedName localSheetId="1" name="baseline">#REF!</definedName>
    <definedName name="dGEAsqm">#REF!</definedName>
    <definedName localSheetId="1" name="PlotandTotals">#REF!</definedName>
    <definedName name="praject">#REF!</definedName>
    <definedName name="kk">#REF!</definedName>
    <definedName localSheetId="1" name="DOW_CORNING_789_SILICONE_SEALANT">#REF!</definedName>
    <definedName localSheetId="1" name="__st1">#REF!</definedName>
    <definedName name="st_65">#REF!</definedName>
    <definedName localSheetId="1" name="Tabel">#REF!</definedName>
    <definedName localSheetId="1" name="npv_general_3rdparty">#REF!</definedName>
    <definedName name="A4_">#REF!</definedName>
    <definedName name="st_40">#REF!</definedName>
    <definedName name="Tot_Hr">#REF!</definedName>
    <definedName localSheetId="1" name="namelist">#REF!</definedName>
    <definedName localSheetId="1" name="dOtherConstCosts1">#REF!</definedName>
    <definedName name="ann">#REF!</definedName>
    <definedName name="rty">#REF!</definedName>
    <definedName name="A7_">#REF!</definedName>
    <definedName localSheetId="1" name="sh0.5">#REF!</definedName>
    <definedName localSheetId="1" name="HLrates">#REF!</definedName>
    <definedName name="dSalesTiming3">#REF!</definedName>
    <definedName name="SURYA">#REF!</definedName>
    <definedName name="Tabel">#REF!</definedName>
    <definedName localSheetId="1" name="FirstCol">#REF!</definedName>
    <definedName localSheetId="1" name="_Key1">#REF!</definedName>
    <definedName localSheetId="1" name="sh0.8">#REF!</definedName>
    <definedName name="dMDLSiteDisposalCosts">#REF!</definedName>
    <definedName name="Hoistcalcprnd">#REF!</definedName>
    <definedName localSheetId="1" name="project">#REF!</definedName>
    <definedName localSheetId="1" name="HL2accam">#REF!</definedName>
    <definedName localSheetId="1" name="AREAS_EX_EXTERNAL_WORKS">#REF!</definedName>
    <definedName name="EXIT">#REF!</definedName>
    <definedName localSheetId="1" name="architects">#REF!</definedName>
    <definedName localSheetId="1" name="sale_costs">#REF!</definedName>
    <definedName name="_bol1">#REF!</definedName>
    <definedName localSheetId="1" name="st_80">#REF!</definedName>
    <definedName localSheetId="1" name="cv_100">#REF!</definedName>
    <definedName localSheetId="1" name="____K85167">#REF!</definedName>
    <definedName name="planning">#REF!</definedName>
    <definedName name="docu">#REF!</definedName>
    <definedName localSheetId="1" name="dOverallContingency">#REF!</definedName>
    <definedName localSheetId="1" name="in_25">#REF!</definedName>
    <definedName name="ConstrFeas">#REF!</definedName>
    <definedName localSheetId="1" name="____pg3">#REF!</definedName>
    <definedName localSheetId="1" name="cv_25">#REF!</definedName>
    <definedName localSheetId="1" name="dNIAsqm">#REF!</definedName>
    <definedName localSheetId="1" name="time4">#REF!</definedName>
    <definedName localSheetId="1" name="eurl">#REF!</definedName>
    <definedName name="in_80">#REF!</definedName>
    <definedName localSheetId="1" name="_3m_250">#REF!</definedName>
    <definedName name="_______pg3">#REF!</definedName>
    <definedName name="bs">#REF!</definedName>
    <definedName name="Four">#REF!</definedName>
    <definedName localSheetId="1" name="gi_250">#REF!</definedName>
    <definedName localSheetId="1" name="leasing_costs">#REF!</definedName>
    <definedName name="bpack">#REF!</definedName>
    <definedName name="special_casts">#REF!</definedName>
    <definedName name="st_80">#REF!</definedName>
    <definedName name="FOREX_YEN">#REF!</definedName>
    <definedName name="AREAS_UB_UTILITY_BLOCK">#REF!</definedName>
    <definedName name="Subject">#REF!</definedName>
    <definedName localSheetId="1" name="INSTALLATION_LABOR">#REF!</definedName>
    <definedName name="glb_25">#REF!</definedName>
    <definedName localSheetId="1" name="pg">#REF!</definedName>
    <definedName localSheetId="1" name="Status">#REF!</definedName>
    <definedName localSheetId="1" name="cv_300">#REF!</definedName>
    <definedName localSheetId="1" name="FOREX_YEN">#REF!</definedName>
    <definedName name="AREAS_EX_EXTERNAL_WORKS">#REF!</definedName>
    <definedName localSheetId="1" name="interest2">#REF!</definedName>
    <definedName localSheetId="1" name="in_600">#REF!</definedName>
    <definedName localSheetId="1" name="__pa2">#REF!</definedName>
    <definedName localSheetId="1" name="____pg2">#REF!</definedName>
    <definedName name="margin_an_labor">#REF!</definedName>
    <definedName name="df">#REF!</definedName>
    <definedName name="infrastructure_secondmillion">#REF!</definedName>
    <definedName localSheetId="1" name="AREAS_CB_Canteen_Building">#REF!</definedName>
    <definedName localSheetId="1" name="interest10">#REF!</definedName>
    <definedName localSheetId="1" name="MMList">#REF!</definedName>
    <definedName localSheetId="1" name="dPurchaserCosts">#REF!</definedName>
    <definedName name="AREAS_SR_3_Store_Room">#REF!</definedName>
    <definedName localSheetId="1" name="dScenarioSwitch">#REF!</definedName>
    <definedName localSheetId="1" name="HL2it">#REF!</definedName>
    <definedName localSheetId="1" name="blv_25">#REF!</definedName>
    <definedName localSheetId="1" name="TMAPLA">#REF!</definedName>
    <definedName localSheetId="1" name="gv_65">#REF!</definedName>
    <definedName localSheetId="1" name="devel_period">#REF!</definedName>
    <definedName name="Incline">#REF!</definedName>
    <definedName name="dDevCoDisposalCosts">#REF!</definedName>
    <definedName localSheetId="1" name="_______pg3">#REF!</definedName>
    <definedName name="Phase">#REF!</definedName>
    <definedName name="dmi">#REF!</definedName>
    <definedName name="JCT_WORDS">#REF!</definedName>
    <definedName localSheetId="1" name="npv_general_3rdparti">#REF!</definedName>
    <definedName localSheetId="1" name="gv_300">#REF!</definedName>
    <definedName name="hf">#REF!</definedName>
    <definedName localSheetId="1" name="NetFloorPlats">#REF!</definedName>
    <definedName localSheetId="1" name="Lease_rent">#REF!</definedName>
    <definedName localSheetId="1" name="kj">#REF!</definedName>
    <definedName name="HL2version">#REF!</definedName>
    <definedName localSheetId="1" name="Print_Arae">#REF!</definedName>
    <definedName localSheetId="1" name="st_50">#REF!</definedName>
    <definedName localSheetId="1" name="build_costs">#REF!</definedName>
    <definedName name="Rates">#REF!</definedName>
    <definedName localSheetId="1" name="DISCOONT">#REF!</definedName>
    <definedName name="_____________ML2">#REF!</definedName>
    <definedName localSheetId="1" name="Table">#REF!</definedName>
    <definedName localSheetId="1" name="EH2eht">#REF!</definedName>
    <definedName localSheetId="1" name="leasing_fees">#REF!</definedName>
    <definedName name="edited">#REF!</definedName>
    <definedName localSheetId="1" name="Fixed">#REF!</definedName>
    <definedName name="Risk">#REF!</definedName>
    <definedName name="glb_32">#REF!</definedName>
    <definedName localSheetId="1" name="BuiltIn_Print_Titles">#REF!</definedName>
    <definedName name="puck">#REF!</definedName>
    <definedName localSheetId="1" name="ESTIMATING_FACTORS___FROM_JPL_TO_QUOTATION">#REF!</definedName>
    <definedName name="_2m_50">#REF!</definedName>
    <definedName name="AREAS_MTF_Milk_Tank_Foundations">#REF!</definedName>
    <definedName localSheetId="1" name="Updated">#REF!</definedName>
    <definedName localSheetId="1" name="______pg2">#REF!</definedName>
    <definedName localSheetId="1" name="infrastructure">#REF!</definedName>
    <definedName localSheetId="1" name="LandAmounts">#REF!</definedName>
    <definedName localSheetId="1" name="pvc_250">#REF!</definedName>
    <definedName localSheetId="1" name="margin_an_labor">#REF!</definedName>
    <definedName name="________ML1">#REF!</definedName>
    <definedName name="PRICE_QUOTATION_TABLE___PASSENGER_MODELS">#REF!</definedName>
    <definedName name="blv_40">#REF!</definedName>
    <definedName name="Setflag">#REF!</definedName>
    <definedName localSheetId="1" name="____ML1">#REF!</definedName>
    <definedName name="reimbursable">#REF!</definedName>
    <definedName name="Plots">#REF!</definedName>
    <definedName localSheetId="1" name="InvSaleCosts">#REF!</definedName>
    <definedName localSheetId="1" name="MaxLetDatse">#REF!</definedName>
    <definedName name="gi_200">#REF!</definedName>
    <definedName name="TMBPLA">#REF!</definedName>
    <definedName localSheetId="1" name="A4_">#REF!</definedName>
    <definedName name="AREAS_SR_2_Security_Room___2">#REF!</definedName>
    <definedName localSheetId="1" name="SUPPNo">#REF!</definedName>
    <definedName name="dOverageRevenue">#REF!</definedName>
    <definedName localSheetId="1" name="Hoistcalcprnt">#REF!</definedName>
    <definedName localSheetId="1" name="PhaseAllocations">#REF!</definedName>
    <definedName localSheetId="1" name="ValueType">#REF!</definedName>
    <definedName name="AREAS_CIPT_Tanker_CIP_Shed">#REF!</definedName>
    <definedName name="_____pg3">#REF!</definedName>
    <definedName name="_3m_40">#REF!</definedName>
    <definedName name="AREAS_CA_CANOPY__WAREHOUSE">#REF!</definedName>
    <definedName name="shiva">#REF!</definedName>
    <definedName localSheetId="1" name="HL2rates">#REF!</definedName>
    <definedName localSheetId="1" name="_____ML1">#REF!</definedName>
    <definedName localSheetId="1" name="phase1_space_max">#REF!</definedName>
    <definedName localSheetId="1" name="__ARD2">#REF!</definedName>
    <definedName localSheetId="1" name="five">#REF!</definedName>
    <definedName localSheetId="1" name="PAANT">#REF!</definedName>
    <definedName localSheetId="1" name="Revision">#REF!</definedName>
    <definedName localSheetId="1" name="dCapitalValueRent">#REF!</definedName>
    <definedName localSheetId="1" name="Cap21m">#REF!</definedName>
    <definedName name="Up_Front_Costs">#REF!</definedName>
    <definedName name="stb">#REF!</definedName>
    <definedName name="________Mk2">#REF!</definedName>
    <definedName localSheetId="1" name="Carner">#REF!</definedName>
    <definedName localSheetId="1" name="MAN_WORDS">#REF!</definedName>
    <definedName name="commisiion">#REF!</definedName>
    <definedName localSheetId="1" name="gi_25">#REF!</definedName>
    <definedName localSheetId="1" name="LetPhasedCash">#REF!</definedName>
    <definedName localSheetId="1" name="_________K85167">#REF!</definedName>
    <definedName name="__pg3">#REF!</definedName>
    <definedName name="fj_40">#REF!</definedName>
    <definedName localSheetId="1" name="Phase">#REF!</definedName>
    <definedName name="fj_500">#REF!</definedName>
    <definedName name="EntireProject">#REF!</definedName>
    <definedName localSheetId="1" name="gi_50">#REF!</definedName>
    <definedName name="_2m_250">#REF!</definedName>
    <definedName name="commission">#REF!</definedName>
    <definedName localSheetId="1" name="income">#REF!</definedName>
    <definedName name="FHR">#REF!</definedName>
    <definedName name="construction">#REF!</definedName>
    <definedName localSheetId="1" name="cv_50">#REF!</definedName>
    <definedName name="_____Ml3">#REF!</definedName>
    <definedName localSheetId="1" name="AREAS_SY_Scrap_Yard">#REF!</definedName>
    <definedName localSheetId="1" name="___pg2">#REF!</definedName>
    <definedName name="LOCALIZATION">#REF!</definedName>
    <definedName name="PREVAL">#REF!</definedName>
    <definedName localSheetId="1" name="ma">#REF!</definedName>
    <definedName name="dConstructionPereed">#REF!</definedName>
    <definedName localSheetId="1" name="annealing1">#REF!</definedName>
    <definedName localSheetId="1" name="______pg3">#REF!</definedName>
    <definedName name="cv_400">#REF!</definedName>
    <definedName name="schedule">#REF!</definedName>
    <definedName localSheetId="1" name="personal">#REF!</definedName>
    <definedName localSheetId="1" name="AllCols">#REF!</definedName>
    <definedName localSheetId="1" name="Filtered">#REF!</definedName>
    <definedName name="land_npv_to_new_owner">#REF!</definedName>
    <definedName name="gs">#REF!</definedName>
    <definedName localSheetId="1" name="dg">#REF!</definedName>
    <definedName name="in_50">#REF!</definedName>
    <definedName name="five">#REF!</definedName>
    <definedName name="AREAS_GA_General_Area___Overall">#REF!</definedName>
    <definedName name="AREAS_CLRR_Contract_Labour_Rest_Room">#REF!</definedName>
    <definedName name="STOPS">#REF!</definedName>
    <definedName name="____pg2">#REF!</definedName>
    <definedName localSheetId="1" name="_SH4">#REF!</definedName>
    <definedName localSheetId="1" name="planning">#REF!</definedName>
    <definedName name="LOAD">#REF!</definedName>
    <definedName localSheetId="1" name="BldgLetKey">#REF!</definedName>
    <definedName localSheetId="1" name="Pane2">#REF!</definedName>
    <definedName localSheetId="1" name="UserChoice">#REF!</definedName>
    <definedName name="ProfitPcent">#REF!</definedName>
    <definedName localSheetId="1" name="gi_200">#REF!</definedName>
    <definedName name="PASSENGER_MODELS">#REF!</definedName>
    <definedName localSheetId="1" name="st_150">#REF!</definedName>
    <definedName name="dSalesReceipts2">#REF!</definedName>
    <definedName name="AREAS_ST_Stacks_near_Utility_Buildings">#REF!</definedName>
    <definedName localSheetId="1" name="Rates">#REF!</definedName>
    <definedName name="_ARD1">#REF!</definedName>
    <definedName name="PlotPhases">#REF!</definedName>
    <definedName name="_____K85167">#REF!</definedName>
    <definedName localSheetId="1" name="blv_40">#REF!</definedName>
    <definedName localSheetId="1" name="____ARD1">#REF!</definedName>
    <definedName name="RISE">#REF!</definedName>
    <definedName name="PhaseKey">#REF!</definedName>
    <definedName localSheetId="1" name="BuiltIn_Print_Area___0">#REF!</definedName>
    <definedName localSheetId="1" name="MK">#REF!</definedName>
    <definedName localSheetId="1" name="___________ML1">#REF!</definedName>
    <definedName localSheetId="1" name="s_carve">#REF!</definedName>
    <definedName name="PlotArea">#REF!</definedName>
    <definedName localSheetId="1" name="profit1">#REF!</definedName>
    <definedName localSheetId="1" name="fj_200">#REF!</definedName>
    <definedName localSheetId="1" name="gi_400">#REF!</definedName>
    <definedName localSheetId="1" name="fj_150">#REF!</definedName>
    <definedName name="dPlotEquityReturnRates">#REF!</definedName>
    <definedName name="architects">#REF!</definedName>
    <definedName localSheetId="1" name="st_25">#REF!</definedName>
    <definedName name="_2m_65">#REF!</definedName>
    <definedName name="___Mw2">#REF!</definedName>
    <definedName localSheetId="1" name="LandPhaseKey">#REF!</definedName>
    <definedName localSheetId="1" name="Type2">#REF!</definedName>
    <definedName localSheetId="1" name="frate">#REF!</definedName>
    <definedName name="st_150">#REF!</definedName>
    <definedName name="GA">#REF!</definedName>
    <definedName localSheetId="1" name="___Mn2">#REF!</definedName>
    <definedName name="residual_site_value_psf">#REF!</definedName>
    <definedName name="STEP_WIDTH">#REF!</definedName>
    <definedName name="MODEL_NA">#REF!</definedName>
    <definedName name="glb_50">#REF!</definedName>
    <definedName localSheetId="1" name="gi_150">#REF!</definedName>
    <definedName name="gi_50">#REF!</definedName>
    <definedName name="st_32">#REF!</definedName>
    <definedName name="dSalesTiming2">#REF!</definedName>
    <definedName name="Tier3">#REF!</definedName>
    <definedName name="m">#REF!</definedName>
    <definedName localSheetId="1" name="quantity">#REF!</definedName>
    <definedName name="dECOHomes">#REF!</definedName>
    <definedName name="npv_general_LP">#REF!</definedName>
    <definedName localSheetId="1" name="blv_50">#REF!</definedName>
    <definedName localSheetId="1" name="__K85167">#REF!</definedName>
    <definedName name="TableRange">#REF!</definedName>
    <definedName name="___ML1">#REF!</definedName>
    <definedName name="WIRING_OPTIANS">#REF!</definedName>
    <definedName name="blv_50">#REF!</definedName>
    <definedName name="Table">#REF!</definedName>
    <definedName localSheetId="1" name="PREWKS">#REF!</definedName>
    <definedName name="flag1">#REF!</definedName>
    <definedName name="DEPTH">#REF!</definedName>
    <definedName name="LOOD">#REF!</definedName>
    <definedName localSheetId="1" name="CONWKJ">#REF!</definedName>
    <definedName name="blv_250">#REF!</definedName>
    <definedName name="glb_300">#REF!</definedName>
    <definedName name="special_costs">#REF!</definedName>
    <definedName localSheetId="1" name="A3_">#REF!</definedName>
    <definedName name="____________ML1">#REF!</definedName>
    <definedName name="MARINE_MULTIPLE">#REF!</definedName>
    <definedName localSheetId="1" name="_st1">#REF!</definedName>
    <definedName localSheetId="1" name="botl1">#REF!</definedName>
    <definedName name="th">#REF!</definedName>
    <definedName localSheetId="1" name="gv_500">#REF!</definedName>
    <definedName localSheetId="1" name="_3m_200">#REF!</definedName>
    <definedName name="_3m_80">#REF!</definedName>
    <definedName localSheetId="1" name="전체">#REF!</definedName>
    <definedName name="____ML1">#REF!</definedName>
    <definedName name="ARD_TEST">#REF!</definedName>
    <definedName name="MK">#REF!</definedName>
    <definedName name="AREAS_CB_Canteen_Building">#REF!</definedName>
    <definedName localSheetId="1" name="dProjMgmtFee">#REF!</definedName>
    <definedName localSheetId="1" name="AREAS_MR_TB_Milk_Reception_Tanker_s_Bay">#REF!</definedName>
    <definedName localSheetId="1" name="AREAS_LS_LubeOil_Stores">#REF!</definedName>
    <definedName name="_______Mh2">#REF!</definedName>
    <definedName localSheetId="1" name="fsg">#REF!</definedName>
    <definedName localSheetId="1" name="BOQ">#REF!</definedName>
    <definedName name="multicer">#REF!</definedName>
    <definedName name="time3">#REF!</definedName>
    <definedName localSheetId="1" name="___Mw2">#REF!</definedName>
    <definedName name="fs">#REF!</definedName>
    <definedName name="bcd">#REF!</definedName>
    <definedName name="pack">#REF!</definedName>
    <definedName name="plangain3">#REF!</definedName>
    <definedName name="A5_">#REF!</definedName>
    <definedName name="JobNo_Initials">#REF!</definedName>
    <definedName name="_____ML2">#REF!</definedName>
    <definedName name="gi_500">#REF!</definedName>
    <definedName name="dOtherCosts">#REF!</definedName>
    <definedName name="multicar">#REF!</definedName>
    <definedName name="engineers">#REF!</definedName>
    <definedName localSheetId="1" name="Storeys">#REF!</definedName>
    <definedName name="HL2rates">#REF!</definedName>
    <definedName localSheetId="1" name="am">#REF!</definedName>
    <definedName name="전체">#REF!</definedName>
    <definedName name="tac_matl">#REF!</definedName>
    <definedName localSheetId="1" name="base_line">#REF!</definedName>
    <definedName name="dvat">#REF!</definedName>
    <definedName localSheetId="1" name="dDebtProvaders">#REF!</definedName>
    <definedName name="blv_400">#REF!</definedName>
    <definedName name="ConstrPhasedCash">#REF!</definedName>
    <definedName name="JobID">#REF!</definedName>
    <definedName name="_______st1">#REF!</definedName>
    <definedName hidden="1" localSheetId="2" name="_xlnm._FilterDatabase">'T1-T6+Infra+MLCP'!$A$6:$D$6</definedName>
  </definedNames>
  <calcPr/>
  <extLst>
    <ext uri="GoogleSheetsCustomDataVersion2">
      <go:sheetsCustomData xmlns:go="http://customooxmlschemas.google.com/" r:id="rId57" roundtripDataChecksum="QxeCVHV6C9TVhqRmzzeZvg+gmFl3FH/ClQkJv66kfw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7">
      <text>
        <t xml:space="preserve">======
ID#AAABPa0cAdQ
7284    (2024-06-18 08:08:51)
Link to Str VFC 100%</t>
      </text>
    </comment>
  </commentList>
  <extLst>
    <ext uri="GoogleSheetsCustomDataVersion2">
      <go:sheetsCustomData xmlns:go="http://customooxmlschemas.google.com/" r:id="rId1" roundtripDataSignature="AMtx7miD713LASDb9D4xVqMlUkvVs+mwL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S2">
      <text>
        <t xml:space="preserve">======
ID#AAABPa0cAdU
Sudhir Sharma    (2024-06-18 08:08:51)
Aligned to T1 Since MLCP will be activated with T1 operation.</t>
      </text>
    </comment>
    <comment authorId="0" ref="C15">
      <text>
        <t xml:space="preserve">======
ID#AAABPa0cAdc
Sudhir Sharma    (2024-06-18 08:08:51)
RCP, SB schedule and wall elevation to be given at this stage</t>
      </text>
    </comment>
    <comment authorId="0" ref="Q2">
      <text>
        <t xml:space="preserve">======
ID#AAABPa0cAdY
Sudhir Sharma    (2024-06-18 08:08:51)
Dates aligned to T1 since same will be activated for T1 operation</t>
      </text>
    </comment>
    <comment authorId="0" ref="C17">
      <text>
        <t xml:space="preserve">======
ID#AAABPa0cAdM
Sudhir Sharma    (2024-06-18 08:08:51)
MEP shall provide BW layout during DD for confirmation.</t>
      </text>
    </comment>
  </commentList>
  <extLst>
    <ext uri="GoogleSheetsCustomDataVersion2">
      <go:sheetsCustomData xmlns:go="http://customooxmlschemas.google.com/" r:id="rId1" roundtripDataSignature="AMtx7mi7kI37+pMw+nzSZC0evQbH5P0Y2g=="/>
    </ext>
  </extLst>
</comments>
</file>

<file path=xl/sharedStrings.xml><?xml version="1.0" encoding="utf-8"?>
<sst xmlns="http://schemas.openxmlformats.org/spreadsheetml/2006/main" count="1382" uniqueCount="378">
  <si>
    <t xml:space="preserve">Progress Chart </t>
  </si>
  <si>
    <t xml:space="preserve">Tower -1 </t>
  </si>
  <si>
    <t xml:space="preserve">Planned </t>
  </si>
  <si>
    <t>20#</t>
  </si>
  <si>
    <t>Tender</t>
  </si>
  <si>
    <t xml:space="preserve">Actual </t>
  </si>
  <si>
    <t>Tower -2</t>
  </si>
  <si>
    <t>Tower -3</t>
  </si>
  <si>
    <t>Tower -4</t>
  </si>
  <si>
    <t>Tower -5</t>
  </si>
  <si>
    <t>Tower -6</t>
  </si>
  <si>
    <t xml:space="preserve">Infra -1 </t>
  </si>
  <si>
    <t xml:space="preserve">MLCP </t>
  </si>
  <si>
    <t>Concept</t>
  </si>
  <si>
    <t>Scheme</t>
  </si>
  <si>
    <t xml:space="preserve">Detail design </t>
  </si>
  <si>
    <t xml:space="preserve">VFC </t>
  </si>
  <si>
    <t xml:space="preserve">Design Delivery Schedule for New Project </t>
  </si>
  <si>
    <t xml:space="preserve">New Project - </t>
  </si>
  <si>
    <t>Buildings DDS</t>
  </si>
  <si>
    <t>Internal Release</t>
  </si>
  <si>
    <t>External Release</t>
  </si>
  <si>
    <t>Building Name</t>
  </si>
  <si>
    <t xml:space="preserve">As per Policy 
(no of weeks from Concept </t>
  </si>
  <si>
    <t>As per Current Progress
(no of weeks from Preceding Deliverable)(+sucessor/-predecessor)</t>
  </si>
  <si>
    <t>As Per Policy</t>
  </si>
  <si>
    <t>Actual Expected</t>
  </si>
  <si>
    <t>Link</t>
  </si>
  <si>
    <t>Typology</t>
  </si>
  <si>
    <t>For sale</t>
  </si>
  <si>
    <t>Building Height</t>
  </si>
  <si>
    <t>&lt;30m</t>
  </si>
  <si>
    <t>&lt;= 30-50 m</t>
  </si>
  <si>
    <t>50-70 m</t>
  </si>
  <si>
    <t>70-100 m</t>
  </si>
  <si>
    <t>100-150 m</t>
  </si>
  <si>
    <t>150 m+</t>
  </si>
  <si>
    <t>Building Configuration</t>
  </si>
  <si>
    <t>Project Start Date (Email from AML)</t>
  </si>
  <si>
    <t>Concept Finalization</t>
  </si>
  <si>
    <t>Excavation Tender &amp; VFC (upto 1 m above final depth)</t>
  </si>
  <si>
    <t>Civil Tender</t>
  </si>
  <si>
    <t>ROW11</t>
  </si>
  <si>
    <r>
      <rPr>
        <rFont val="Arial"/>
        <i/>
        <color rgb="FF000000"/>
        <sz val="10.0"/>
      </rPr>
      <t>- Civil Schematic</t>
    </r>
    <r>
      <rPr>
        <rFont val="Arial"/>
        <i/>
        <color rgb="FF000000"/>
        <sz val="10.0"/>
        <vertAlign val="superscript"/>
      </rPr>
      <t>2</t>
    </r>
  </si>
  <si>
    <t>ROW9</t>
  </si>
  <si>
    <t>- MEP Schematic</t>
  </si>
  <si>
    <t>Shoring Tender &amp; VFC + final (upto) 1 m excavation</t>
  </si>
  <si>
    <t>Raft/Piling/Foundation VFC</t>
  </si>
  <si>
    <t>ROW15</t>
  </si>
  <si>
    <r>
      <rPr>
        <rFont val="Arial"/>
        <color rgb="FF000000"/>
        <sz val="10.0"/>
      </rPr>
      <t xml:space="preserve">- </t>
    </r>
    <r>
      <rPr>
        <rFont val="Arial"/>
        <i/>
        <color rgb="FF000000"/>
        <sz val="10.0"/>
      </rPr>
      <t>Coordinated GA</t>
    </r>
    <r>
      <rPr>
        <rFont val="Arial"/>
        <i/>
        <color rgb="FF000000"/>
        <sz val="10.0"/>
        <vertAlign val="superscript"/>
      </rPr>
      <t>3</t>
    </r>
    <r>
      <rPr>
        <rFont val="Arial"/>
        <i/>
        <color rgb="FF000000"/>
        <sz val="10.0"/>
      </rPr>
      <t xml:space="preserve"> for Foundation</t>
    </r>
  </si>
  <si>
    <t>ROW16</t>
  </si>
  <si>
    <t>- Wind tunnel test report</t>
  </si>
  <si>
    <t>NA</t>
  </si>
  <si>
    <t>ROW13</t>
  </si>
  <si>
    <r>
      <rPr>
        <rFont val="Calibri"/>
        <color theme="1"/>
        <sz val="11.0"/>
      </rPr>
      <t>MEP VFC  I</t>
    </r>
    <r>
      <rPr>
        <rFont val="Calibri"/>
        <strike/>
        <color theme="1"/>
        <sz val="11.0"/>
      </rPr>
      <t>FC (Input for Construction)</t>
    </r>
  </si>
  <si>
    <t>ROW14</t>
  </si>
  <si>
    <t>Issue of Formwork GA set to vendor/contractor</t>
  </si>
  <si>
    <t>Finalization of Forwork GA set by vendor/contractor</t>
  </si>
  <si>
    <t>ROW18</t>
  </si>
  <si>
    <t>Structural VFC upto Ground*</t>
  </si>
  <si>
    <t>ROW23</t>
  </si>
  <si>
    <r>
      <rPr>
        <rFont val="Arial"/>
        <color rgb="FF000000"/>
        <sz val="10.0"/>
      </rPr>
      <t xml:space="preserve">- </t>
    </r>
    <r>
      <rPr>
        <rFont val="Arial"/>
        <i/>
        <color rgb="FF000000"/>
        <sz val="10.0"/>
      </rPr>
      <t>Coordinated GA</t>
    </r>
    <r>
      <rPr>
        <rFont val="Arial"/>
        <i/>
        <color rgb="FF000000"/>
        <sz val="10.0"/>
        <vertAlign val="superscript"/>
      </rPr>
      <t xml:space="preserve">3 </t>
    </r>
    <r>
      <rPr>
        <rFont val="Arial"/>
        <i/>
        <color rgb="FF000000"/>
        <sz val="10.0"/>
      </rPr>
      <t>upto Ground</t>
    </r>
  </si>
  <si>
    <r>
      <rPr>
        <rFont val="Arial"/>
        <i/>
        <color rgb="FF000000"/>
        <sz val="10.0"/>
      </rPr>
      <t>- Structural VFC</t>
    </r>
    <r>
      <rPr>
        <rFont val="Arial"/>
        <i/>
        <color rgb="FF000000"/>
        <sz val="10.0"/>
        <vertAlign val="superscript"/>
      </rPr>
      <t xml:space="preserve">4 </t>
    </r>
    <r>
      <rPr>
        <rFont val="Arial"/>
        <i/>
        <color rgb="FF000000"/>
        <sz val="10.0"/>
      </rPr>
      <t>(Internal)</t>
    </r>
  </si>
  <si>
    <t>ROW21</t>
  </si>
  <si>
    <r>
      <rPr>
        <rFont val="Arial"/>
        <i/>
        <color rgb="FF000000"/>
        <sz val="10.0"/>
      </rPr>
      <t>- MEP IFC</t>
    </r>
    <r>
      <rPr>
        <rFont val="Arial"/>
        <i/>
        <color rgb="FF000000"/>
        <sz val="10.0"/>
        <vertAlign val="superscript"/>
      </rPr>
      <t>6</t>
    </r>
  </si>
  <si>
    <t>ROW22</t>
  </si>
  <si>
    <r>
      <rPr>
        <rFont val="Calibri"/>
        <color theme="1"/>
        <sz val="11.0"/>
      </rPr>
      <t>MEP VFC  I</t>
    </r>
    <r>
      <rPr>
        <rFont val="Calibri"/>
        <strike/>
        <color theme="1"/>
        <sz val="11.0"/>
      </rPr>
      <t>FC (Input for Construction)</t>
    </r>
  </si>
  <si>
    <t>ROW20</t>
  </si>
  <si>
    <t>Structural VFC for first 5-10 floors above ground**</t>
  </si>
  <si>
    <t>ROW31</t>
  </si>
  <si>
    <t>- Facade Cast-in Details</t>
  </si>
  <si>
    <r>
      <rPr>
        <rFont val="Arial"/>
        <i/>
        <color rgb="FF000000"/>
        <sz val="10.0"/>
      </rPr>
      <t>- Coordinated GA</t>
    </r>
    <r>
      <rPr>
        <rFont val="Arial"/>
        <i/>
        <color rgb="FF000000"/>
        <sz val="10.0"/>
        <vertAlign val="superscript"/>
      </rPr>
      <t>3</t>
    </r>
    <r>
      <rPr>
        <rFont val="Arial"/>
        <i/>
        <color rgb="FF000000"/>
        <sz val="10.0"/>
      </rPr>
      <t>for first 5-10 floors above ground</t>
    </r>
  </si>
  <si>
    <r>
      <rPr>
        <rFont val="Arial"/>
        <i/>
        <color rgb="FF000000"/>
        <sz val="10.0"/>
      </rPr>
      <t>- Structural VFC</t>
    </r>
    <r>
      <rPr>
        <rFont val="Arial"/>
        <i/>
        <color rgb="FF000000"/>
        <sz val="10.0"/>
        <vertAlign val="superscript"/>
      </rPr>
      <t>4</t>
    </r>
    <r>
      <rPr>
        <rFont val="Arial"/>
        <i/>
        <color rgb="FF000000"/>
        <sz val="10.0"/>
      </rPr>
      <t xml:space="preserve"> (Internal)</t>
    </r>
  </si>
  <si>
    <t>ROW27</t>
  </si>
  <si>
    <r>
      <rPr>
        <rFont val="Arial"/>
        <i/>
        <color rgb="FF000000"/>
        <sz val="10.0"/>
      </rPr>
      <t>- ID Concept Finalization</t>
    </r>
    <r>
      <rPr>
        <rFont val="Arial"/>
        <i/>
        <color rgb="FF000000"/>
        <sz val="10.0"/>
        <vertAlign val="superscript"/>
      </rPr>
      <t>7,8</t>
    </r>
  </si>
  <si>
    <t>ROW28</t>
  </si>
  <si>
    <r>
      <rPr>
        <rFont val="Arial"/>
        <i/>
        <color rgb="FF000000"/>
        <sz val="10.0"/>
      </rPr>
      <t>- MEP IFC</t>
    </r>
    <r>
      <rPr>
        <rFont val="Arial"/>
        <i/>
        <color rgb="FF000000"/>
        <sz val="10.0"/>
        <vertAlign val="superscript"/>
      </rPr>
      <t>6</t>
    </r>
  </si>
  <si>
    <t>ROW29</t>
  </si>
  <si>
    <t>- Civil DD for Entire Building</t>
  </si>
  <si>
    <t>ROW30</t>
  </si>
  <si>
    <r>
      <rPr>
        <rFont val="Calibri"/>
        <color theme="1"/>
        <sz val="11.0"/>
      </rPr>
      <t>MEP VFC  I</t>
    </r>
    <r>
      <rPr>
        <rFont val="Calibri"/>
        <strike/>
        <color theme="1"/>
        <sz val="11.0"/>
      </rPr>
      <t>FC (Input for Construction)</t>
    </r>
  </si>
  <si>
    <t>ROW25</t>
  </si>
  <si>
    <t>Structural VFC for balance structure (100%)***</t>
  </si>
  <si>
    <t>ROW37</t>
  </si>
  <si>
    <r>
      <rPr>
        <rFont val="Arial"/>
        <color rgb="FF000000"/>
        <sz val="10.0"/>
      </rPr>
      <t xml:space="preserve">- </t>
    </r>
    <r>
      <rPr>
        <rFont val="Arial"/>
        <i/>
        <color rgb="FF000000"/>
        <sz val="10.0"/>
      </rPr>
      <t>Coordinated GA</t>
    </r>
    <r>
      <rPr>
        <rFont val="Arial"/>
        <i/>
        <color rgb="FF000000"/>
        <sz val="10.0"/>
        <vertAlign val="superscript"/>
      </rPr>
      <t>3</t>
    </r>
    <r>
      <rPr>
        <rFont val="Arial"/>
        <i/>
        <color rgb="FF000000"/>
        <sz val="10.0"/>
      </rPr>
      <t xml:space="preserve"> for balance structure (100%)</t>
    </r>
  </si>
  <si>
    <r>
      <rPr>
        <rFont val="Arial"/>
        <i/>
        <color rgb="FF000000"/>
        <sz val="10.0"/>
      </rPr>
      <t>- Structural VFC</t>
    </r>
    <r>
      <rPr>
        <rFont val="Arial"/>
        <i/>
        <color rgb="FF000000"/>
        <sz val="10.0"/>
        <vertAlign val="superscript"/>
      </rPr>
      <t>4</t>
    </r>
    <r>
      <rPr>
        <rFont val="Arial"/>
        <i/>
        <color rgb="FF000000"/>
        <sz val="10.0"/>
      </rPr>
      <t xml:space="preserve"> (Internal)</t>
    </r>
  </si>
  <si>
    <t>ROW34</t>
  </si>
  <si>
    <r>
      <rPr>
        <rFont val="Arial"/>
        <i/>
        <color rgb="FF000000"/>
        <sz val="10.0"/>
      </rPr>
      <t>- MEP IFC</t>
    </r>
    <r>
      <rPr>
        <rFont val="Arial"/>
        <i/>
        <color rgb="FF000000"/>
        <sz val="10.0"/>
        <vertAlign val="superscript"/>
      </rPr>
      <t>6</t>
    </r>
  </si>
  <si>
    <t>ROW35</t>
  </si>
  <si>
    <t>- Civil DD for balance Structure (100%)</t>
  </si>
  <si>
    <t>ROW36</t>
  </si>
  <si>
    <r>
      <rPr>
        <rFont val="Calibri"/>
        <color theme="1"/>
        <sz val="11.0"/>
      </rPr>
      <t>MEP VFC  I</t>
    </r>
    <r>
      <rPr>
        <rFont val="Calibri"/>
        <strike/>
        <color theme="1"/>
        <sz val="11.0"/>
      </rPr>
      <t>FC (Input for Construction)</t>
    </r>
  </si>
  <si>
    <t>ROW33</t>
  </si>
  <si>
    <t>Facade tender (including windows and external painting)</t>
  </si>
  <si>
    <t>Facade mockup / Testing (for high rise and super high rise only)</t>
  </si>
  <si>
    <t>MEP Tender</t>
  </si>
  <si>
    <t>ROW48</t>
  </si>
  <si>
    <t>Fitouts Tender</t>
  </si>
  <si>
    <t>ROW47</t>
  </si>
  <si>
    <t>Lifts Tender</t>
  </si>
  <si>
    <t>ROW41</t>
  </si>
  <si>
    <t>BMS &amp; Security System Tender</t>
  </si>
  <si>
    <t>All other tenders related to the building</t>
  </si>
  <si>
    <t>MEP VFC</t>
  </si>
  <si>
    <t>Fitouts VFC</t>
  </si>
  <si>
    <t>ROW38</t>
  </si>
  <si>
    <t>MEP VFC For Fitouts</t>
  </si>
  <si>
    <t>VFC for all other tenders related to the building</t>
  </si>
  <si>
    <t>100% MEP Shop Drawings (part interim approvals shall be done)</t>
  </si>
  <si>
    <t>Completion</t>
  </si>
  <si>
    <t>ROW50</t>
  </si>
  <si>
    <t>New Project - Bhandup Neptune</t>
  </si>
  <si>
    <t>DATES AS PER DDS POLICY</t>
  </si>
  <si>
    <t>Building Name - T1, T2, T3, T4, T5, T6</t>
  </si>
  <si>
    <t>Policy # of Weeks</t>
  </si>
  <si>
    <t>RESI</t>
  </si>
  <si>
    <t>Typology - 2 BHK, 2.5 BHK, 3 BHK</t>
  </si>
  <si>
    <t>Sale Tower</t>
  </si>
  <si>
    <t>Building Height - 135.45 M</t>
  </si>
  <si>
    <t xml:space="preserve"> T1</t>
  </si>
  <si>
    <t>T2</t>
  </si>
  <si>
    <t>T3</t>
  </si>
  <si>
    <t>T4</t>
  </si>
  <si>
    <t>T5</t>
  </si>
  <si>
    <t>T6</t>
  </si>
  <si>
    <r>
      <rPr>
        <rFont val="Arial"/>
        <i/>
        <color rgb="FF000000"/>
        <sz val="10.0"/>
      </rPr>
      <t>- Civil Schematic</t>
    </r>
    <r>
      <rPr>
        <rFont val="Arial"/>
        <i/>
        <color rgb="FF000000"/>
        <sz val="10.0"/>
        <vertAlign val="superscript"/>
      </rPr>
      <t>2</t>
    </r>
  </si>
  <si>
    <r>
      <rPr>
        <rFont val="Arial"/>
        <color rgb="FF000000"/>
        <sz val="10.0"/>
      </rPr>
      <t xml:space="preserve">- </t>
    </r>
    <r>
      <rPr>
        <rFont val="Arial"/>
        <i/>
        <color rgb="FF000000"/>
        <sz val="10.0"/>
      </rPr>
      <t>Coordinated GA</t>
    </r>
    <r>
      <rPr>
        <rFont val="Arial"/>
        <i/>
        <color rgb="FF000000"/>
        <sz val="10.0"/>
        <vertAlign val="superscript"/>
      </rPr>
      <t>3</t>
    </r>
    <r>
      <rPr>
        <rFont val="Arial"/>
        <i/>
        <color rgb="FF000000"/>
        <sz val="10.0"/>
      </rPr>
      <t xml:space="preserve"> for Foundation</t>
    </r>
  </si>
  <si>
    <r>
      <rPr>
        <rFont val="Calibri"/>
        <color theme="1"/>
        <sz val="11.0"/>
      </rPr>
      <t>MEP VFC  I</t>
    </r>
    <r>
      <rPr>
        <rFont val="Calibri"/>
        <strike/>
        <color theme="1"/>
        <sz val="11.0"/>
      </rPr>
      <t>FC (Input for Construction)</t>
    </r>
  </si>
  <si>
    <r>
      <rPr>
        <rFont val="Arial"/>
        <color rgb="FF000000"/>
        <sz val="10.0"/>
      </rPr>
      <t xml:space="preserve">- </t>
    </r>
    <r>
      <rPr>
        <rFont val="Arial"/>
        <i/>
        <color rgb="FF000000"/>
        <sz val="10.0"/>
      </rPr>
      <t>Coordinated GA</t>
    </r>
    <r>
      <rPr>
        <rFont val="Arial"/>
        <i/>
        <color rgb="FF000000"/>
        <sz val="10.0"/>
        <vertAlign val="superscript"/>
      </rPr>
      <t xml:space="preserve">3 </t>
    </r>
    <r>
      <rPr>
        <rFont val="Arial"/>
        <i/>
        <color rgb="FF000000"/>
        <sz val="10.0"/>
      </rPr>
      <t>upto Ground</t>
    </r>
  </si>
  <si>
    <r>
      <rPr>
        <rFont val="Arial"/>
        <i/>
        <color rgb="FF000000"/>
        <sz val="10.0"/>
      </rPr>
      <t>- Structural VFC</t>
    </r>
    <r>
      <rPr>
        <rFont val="Arial"/>
        <i/>
        <color rgb="FF000000"/>
        <sz val="10.0"/>
        <vertAlign val="superscript"/>
      </rPr>
      <t xml:space="preserve">4 </t>
    </r>
    <r>
      <rPr>
        <rFont val="Arial"/>
        <i/>
        <color rgb="FF000000"/>
        <sz val="10.0"/>
      </rPr>
      <t>(Internal)</t>
    </r>
  </si>
  <si>
    <r>
      <rPr>
        <rFont val="Arial"/>
        <i/>
        <color rgb="FF000000"/>
        <sz val="10.0"/>
      </rPr>
      <t>- MEP IFC</t>
    </r>
    <r>
      <rPr>
        <rFont val="Arial"/>
        <i/>
        <color rgb="FF000000"/>
        <sz val="10.0"/>
        <vertAlign val="superscript"/>
      </rPr>
      <t>6</t>
    </r>
  </si>
  <si>
    <r>
      <rPr>
        <rFont val="Calibri"/>
        <color theme="1"/>
        <sz val="11.0"/>
      </rPr>
      <t>MEP VFC  I</t>
    </r>
    <r>
      <rPr>
        <rFont val="Calibri"/>
        <strike/>
        <color theme="1"/>
        <sz val="11.0"/>
      </rPr>
      <t>FC (Input for Construction)</t>
    </r>
  </si>
  <si>
    <r>
      <rPr>
        <rFont val="Arial"/>
        <i/>
        <color rgb="FF000000"/>
        <sz val="10.0"/>
      </rPr>
      <t>- Coordinated GA</t>
    </r>
    <r>
      <rPr>
        <rFont val="Arial"/>
        <i/>
        <color rgb="FF000000"/>
        <sz val="10.0"/>
        <vertAlign val="superscript"/>
      </rPr>
      <t>3</t>
    </r>
    <r>
      <rPr>
        <rFont val="Arial"/>
        <i/>
        <color rgb="FF000000"/>
        <sz val="10.0"/>
      </rPr>
      <t>for first 5-10 floors above ground</t>
    </r>
  </si>
  <si>
    <r>
      <rPr>
        <rFont val="Arial"/>
        <i/>
        <color rgb="FF000000"/>
        <sz val="10.0"/>
      </rPr>
      <t>- Structural VFC</t>
    </r>
    <r>
      <rPr>
        <rFont val="Arial"/>
        <i/>
        <color rgb="FF000000"/>
        <sz val="10.0"/>
        <vertAlign val="superscript"/>
      </rPr>
      <t>4</t>
    </r>
    <r>
      <rPr>
        <rFont val="Arial"/>
        <i/>
        <color rgb="FF000000"/>
        <sz val="10.0"/>
      </rPr>
      <t xml:space="preserve"> (Internal)</t>
    </r>
  </si>
  <si>
    <r>
      <rPr>
        <rFont val="Arial"/>
        <i/>
        <color rgb="FF000000"/>
        <sz val="10.0"/>
      </rPr>
      <t>- ID Concept Finalization</t>
    </r>
    <r>
      <rPr>
        <rFont val="Arial"/>
        <i/>
        <color rgb="FF000000"/>
        <sz val="10.0"/>
        <vertAlign val="superscript"/>
      </rPr>
      <t>7,8</t>
    </r>
  </si>
  <si>
    <r>
      <rPr>
        <rFont val="Arial"/>
        <i/>
        <color rgb="FF000000"/>
        <sz val="10.0"/>
      </rPr>
      <t>- MEP IFC</t>
    </r>
    <r>
      <rPr>
        <rFont val="Arial"/>
        <i/>
        <color rgb="FF000000"/>
        <sz val="10.0"/>
        <vertAlign val="superscript"/>
      </rPr>
      <t>6</t>
    </r>
  </si>
  <si>
    <r>
      <rPr>
        <rFont val="Calibri"/>
        <color theme="1"/>
        <sz val="11.0"/>
      </rPr>
      <t>MEP VFC  I</t>
    </r>
    <r>
      <rPr>
        <rFont val="Calibri"/>
        <strike/>
        <color theme="1"/>
        <sz val="11.0"/>
      </rPr>
      <t>FC (Input for Construction)</t>
    </r>
  </si>
  <si>
    <r>
      <rPr>
        <rFont val="Arial"/>
        <color rgb="FF000000"/>
        <sz val="10.0"/>
      </rPr>
      <t xml:space="preserve">- </t>
    </r>
    <r>
      <rPr>
        <rFont val="Arial"/>
        <i/>
        <color rgb="FF000000"/>
        <sz val="10.0"/>
      </rPr>
      <t>Coordinated GA</t>
    </r>
    <r>
      <rPr>
        <rFont val="Arial"/>
        <i/>
        <color rgb="FF000000"/>
        <sz val="10.0"/>
        <vertAlign val="superscript"/>
      </rPr>
      <t>3</t>
    </r>
    <r>
      <rPr>
        <rFont val="Arial"/>
        <i/>
        <color rgb="FF000000"/>
        <sz val="10.0"/>
      </rPr>
      <t xml:space="preserve"> for balance structure (100%)</t>
    </r>
  </si>
  <si>
    <r>
      <rPr>
        <rFont val="Arial"/>
        <i/>
        <color rgb="FF000000"/>
        <sz val="10.0"/>
      </rPr>
      <t>- Structural VFC</t>
    </r>
    <r>
      <rPr>
        <rFont val="Arial"/>
        <i/>
        <color rgb="FF000000"/>
        <sz val="10.0"/>
        <vertAlign val="superscript"/>
      </rPr>
      <t>4</t>
    </r>
    <r>
      <rPr>
        <rFont val="Arial"/>
        <i/>
        <color rgb="FF000000"/>
        <sz val="10.0"/>
      </rPr>
      <t xml:space="preserve"> (Internal)</t>
    </r>
  </si>
  <si>
    <r>
      <rPr>
        <rFont val="Arial"/>
        <i/>
        <color rgb="FF000000"/>
        <sz val="10.0"/>
      </rPr>
      <t>- MEP IFC</t>
    </r>
    <r>
      <rPr>
        <rFont val="Arial"/>
        <i/>
        <color rgb="FF000000"/>
        <sz val="10.0"/>
        <vertAlign val="superscript"/>
      </rPr>
      <t>6</t>
    </r>
  </si>
  <si>
    <r>
      <rPr>
        <rFont val="Calibri"/>
        <color theme="1"/>
        <sz val="11.0"/>
      </rPr>
      <t>MEP VFC  I</t>
    </r>
    <r>
      <rPr>
        <rFont val="Calibri"/>
        <strike/>
        <color theme="1"/>
        <sz val="11.0"/>
      </rPr>
      <t>FC (Input for Construction)</t>
    </r>
  </si>
  <si>
    <t>MEP VFC for Fitouts</t>
  </si>
  <si>
    <t>DESIGN COMPLETION</t>
  </si>
  <si>
    <t xml:space="preserve">PHASE-1- Residential tower </t>
  </si>
  <si>
    <t>PHASE-2</t>
  </si>
  <si>
    <t>T1</t>
  </si>
  <si>
    <t>INFRA-1</t>
  </si>
  <si>
    <t>T7</t>
  </si>
  <si>
    <t>T8</t>
  </si>
  <si>
    <t>T9</t>
  </si>
  <si>
    <t>INFRA-2</t>
  </si>
  <si>
    <t xml:space="preserve">KCA </t>
  </si>
  <si>
    <t>Sr. No.</t>
  </si>
  <si>
    <t>Deliverable</t>
  </si>
  <si>
    <t>Trade</t>
  </si>
  <si>
    <t>Duration as per Actual in Weeks</t>
  </si>
  <si>
    <t>Planned</t>
  </si>
  <si>
    <t>Actual</t>
  </si>
  <si>
    <t>REMARKS</t>
  </si>
  <si>
    <t>Project Start Date (Email from AML sir)</t>
  </si>
  <si>
    <t>A</t>
  </si>
  <si>
    <t>Design Stage</t>
  </si>
  <si>
    <t xml:space="preserve">Concept </t>
  </si>
  <si>
    <t>Architecture</t>
  </si>
  <si>
    <t>Structure</t>
  </si>
  <si>
    <t>MEP</t>
  </si>
  <si>
    <t>Workshop</t>
  </si>
  <si>
    <t>Schematic</t>
  </si>
  <si>
    <t>DD</t>
  </si>
  <si>
    <t>B</t>
  </si>
  <si>
    <t>Excavation Tender (Based on requirement)</t>
  </si>
  <si>
    <t>Piling Tender</t>
  </si>
  <si>
    <t>Piling VFC</t>
  </si>
  <si>
    <t>Earthing Tender (Micro Pile)</t>
  </si>
  <si>
    <t>Electrical concealed tender</t>
  </si>
  <si>
    <t>PHE</t>
  </si>
  <si>
    <t>Fire Fighting</t>
  </si>
  <si>
    <t>FAVA</t>
  </si>
  <si>
    <t>HVAC</t>
  </si>
  <si>
    <t>Security (CCTV, access control, intercom)</t>
  </si>
  <si>
    <t>Electrical</t>
  </si>
  <si>
    <t xml:space="preserve">VDP </t>
  </si>
  <si>
    <t>IBS &amp; FTTH RFP</t>
  </si>
  <si>
    <t>LIFTS</t>
  </si>
  <si>
    <t>Roof Top solar Hot water</t>
  </si>
  <si>
    <t>Centralized Ventilation</t>
  </si>
  <si>
    <t>OWC</t>
  </si>
  <si>
    <t>STP</t>
  </si>
  <si>
    <t>WTP</t>
  </si>
  <si>
    <t>STP &amp; OWC De-Odorization</t>
  </si>
  <si>
    <t>DG</t>
  </si>
  <si>
    <t>PNG</t>
  </si>
  <si>
    <t>RWH</t>
  </si>
  <si>
    <t>Swimming Pool</t>
  </si>
  <si>
    <t>Fitout</t>
  </si>
  <si>
    <t>ID</t>
  </si>
  <si>
    <t>C</t>
  </si>
  <si>
    <t>VFC</t>
  </si>
  <si>
    <t>Aluminium formwork Shell Plan (Base drawings for preparing shell plan)</t>
  </si>
  <si>
    <t>Podium 1</t>
  </si>
  <si>
    <t>Podium 2</t>
  </si>
  <si>
    <t>Podium 3</t>
  </si>
  <si>
    <t>Podium 4</t>
  </si>
  <si>
    <t>Podium 5</t>
  </si>
  <si>
    <t>Podium 6</t>
  </si>
  <si>
    <t>Podium TOP</t>
  </si>
  <si>
    <t xml:space="preserve">Garden Unit </t>
  </si>
  <si>
    <t xml:space="preserve">Typical Floor </t>
  </si>
  <si>
    <t xml:space="preserve">REFUGE </t>
  </si>
  <si>
    <t xml:space="preserve">Penthouse level </t>
  </si>
  <si>
    <t>Terrace</t>
  </si>
  <si>
    <t>OHT Top</t>
  </si>
  <si>
    <t>Schematic (If SLD, then required with Tender)</t>
  </si>
  <si>
    <t>Doc Type</t>
  </si>
  <si>
    <t>Tower</t>
  </si>
  <si>
    <t>Level</t>
  </si>
  <si>
    <t>Description</t>
  </si>
  <si>
    <t>Document/ Drawing Number</t>
  </si>
  <si>
    <t>Rev. No.</t>
  </si>
  <si>
    <t>Paper size</t>
  </si>
  <si>
    <t>Drawing Scale</t>
  </si>
  <si>
    <t>SNC DDS date</t>
  </si>
  <si>
    <t>STATUS</t>
  </si>
  <si>
    <t>VFC Layouts</t>
  </si>
  <si>
    <t>Drawing</t>
  </si>
  <si>
    <t>Tower-1</t>
  </si>
  <si>
    <t xml:space="preserve">STILT/GROUND FLOOR </t>
  </si>
  <si>
    <t>Fire Fighting Layout for Stilt floor/Ground floor</t>
  </si>
  <si>
    <t>TYPICAL FLOOR</t>
  </si>
  <si>
    <t>Fire Fighting Layout for Typical floor</t>
  </si>
  <si>
    <t>TYPICAL REFUGE FLOOR</t>
  </si>
  <si>
    <t>Fire Fighting Layout for Typical refuge</t>
  </si>
  <si>
    <t>TERRACE FLOOR</t>
  </si>
  <si>
    <t xml:space="preserve">Fire Fighting Layout for Roof level </t>
  </si>
  <si>
    <t xml:space="preserve">Fire Fighting Layout for LMR level </t>
  </si>
  <si>
    <t xml:space="preserve">Fire Fighting Layout for Terrace level </t>
  </si>
  <si>
    <t>PLINTH LEVE</t>
  </si>
  <si>
    <t>Plumbing Layout for plinth level</t>
  </si>
  <si>
    <t>Plumbing ceiling Layout for Stilt floor/Ground floor</t>
  </si>
  <si>
    <t>Plumbing Layout for Typical floor</t>
  </si>
  <si>
    <t>Plumbing Layout for Typical refuge</t>
  </si>
  <si>
    <t xml:space="preserve">Plumbing Layout for Terrace level </t>
  </si>
  <si>
    <t>HVAC Layout for Stilt floor/Ground floor</t>
  </si>
  <si>
    <t>HVAC Layout for Typical floor</t>
  </si>
  <si>
    <t xml:space="preserve">HVAC Layout for Typical refuge </t>
  </si>
  <si>
    <t xml:space="preserve">HVAC Layout for Terrace level </t>
  </si>
  <si>
    <t>Lighting</t>
  </si>
  <si>
    <t>Lighting Layout for Stilt floor/Ground floor</t>
  </si>
  <si>
    <t>Lighting Layout for Typical floor</t>
  </si>
  <si>
    <t xml:space="preserve">Lighting Layout for Typical refuge </t>
  </si>
  <si>
    <t xml:space="preserve">Lighting Layout for Terrace level </t>
  </si>
  <si>
    <t>Small Power</t>
  </si>
  <si>
    <t>Small power Layout for Stilt floor/Ground floor</t>
  </si>
  <si>
    <t>Small power Layout for Typical floor</t>
  </si>
  <si>
    <t xml:space="preserve">Small power Layout for Typical refuge </t>
  </si>
  <si>
    <t xml:space="preserve">Small power Layout for Terrace level </t>
  </si>
  <si>
    <t>Lightning Protection</t>
  </si>
  <si>
    <t>Lightning protection Layout for Stilt floor/Ground floor</t>
  </si>
  <si>
    <t>Lightning protection Layout for Typical floor</t>
  </si>
  <si>
    <t xml:space="preserve">Lightning protection Layout for Typical refuge </t>
  </si>
  <si>
    <t xml:space="preserve">Lightning protection Layout for Terrace level </t>
  </si>
  <si>
    <t>Containment</t>
  </si>
  <si>
    <t>Containment Layout for Stilt floor/Ground floor</t>
  </si>
  <si>
    <t>Containment Layout for Typical floor</t>
  </si>
  <si>
    <t xml:space="preserve">Containment Layout for Typical refuge </t>
  </si>
  <si>
    <t xml:space="preserve">Containment Layout for Terrace level </t>
  </si>
  <si>
    <t>FA &amp; PA</t>
  </si>
  <si>
    <t>FAPA Layout for Stilt floor/Ground floor</t>
  </si>
  <si>
    <t>FAPA Layout for Typical floor</t>
  </si>
  <si>
    <t>FAPA Layout for Typical refuge</t>
  </si>
  <si>
    <t xml:space="preserve">FAPA Layout for Terrace level </t>
  </si>
  <si>
    <t>ELV</t>
  </si>
  <si>
    <t>ELV Layout for Stilt floor/Ground floor</t>
  </si>
  <si>
    <t>ELV Layout for Typical floor</t>
  </si>
  <si>
    <t xml:space="preserve">ELV Layout for Typical refuge </t>
  </si>
  <si>
    <t xml:space="preserve">ELV Layout for Terrace level </t>
  </si>
  <si>
    <t>List of MEP DD deliverables for Bhandup Project</t>
  </si>
  <si>
    <t>LEAD DDS date</t>
  </si>
  <si>
    <t>A. Schematic - Calculations, document/note.</t>
  </si>
  <si>
    <t>Calculation</t>
  </si>
  <si>
    <t>As per CFO</t>
  </si>
  <si>
    <t>UGT AND OHT TANK CAPACITY</t>
  </si>
  <si>
    <t>PUMP SIZING (FLOW RATE AND HEADER)</t>
  </si>
  <si>
    <t>PUMP HEADER</t>
  </si>
  <si>
    <t>Plumbing</t>
  </si>
  <si>
    <t xml:space="preserve"> </t>
  </si>
  <si>
    <t>SUCTION HEADER SIZING</t>
  </si>
  <si>
    <t>PUMP CAPACITY OF TRANSFER, BOOSTER AND SUMP(FLOW RATE AND HEADER)</t>
  </si>
  <si>
    <t>TRANSFER PIPE SIZING</t>
  </si>
  <si>
    <t>TERRACE RAIN WATER PIPE SIZE</t>
  </si>
  <si>
    <t>RAIN WATER CALCULATION(NUMBER OF PIPE AND PIPE DIAMETER)</t>
  </si>
  <si>
    <t>HEAT LOAD (HAP AND EXCEL SUMMERY)</t>
  </si>
  <si>
    <t>Not applicable</t>
  </si>
  <si>
    <t>BASEMENT &amp; PUMP ROOM VENTIALTION NORMAL AND SMOKE EXHAUST CALCULATION</t>
  </si>
  <si>
    <t>LIFT WELL PRESSURIZATION</t>
  </si>
  <si>
    <t>CAR PARKING VENTILATION CALCULATION</t>
  </si>
  <si>
    <t>LOAD CALCULATION WITH POWER BACK UP (NORMAL &amp;  EMERGENCY) CALCUL.</t>
  </si>
  <si>
    <t>CABLE SCHEDULE AND VOLTAGE DROP CALCULATION</t>
  </si>
  <si>
    <t>EARTHING STRIP SIZING</t>
  </si>
  <si>
    <t xml:space="preserve">LIGHTNING PROTECTION </t>
  </si>
  <si>
    <t>SHORT CIRCUIT CALCULATION</t>
  </si>
  <si>
    <t>RISK ANALYSIS CALCULATION</t>
  </si>
  <si>
    <t>B. Schematics</t>
  </si>
  <si>
    <t>Water Supply Schematic</t>
  </si>
  <si>
    <t>Drainage Schematic</t>
  </si>
  <si>
    <t>Rain water schematic</t>
  </si>
  <si>
    <t>Fire Fighting Schematic</t>
  </si>
  <si>
    <t xml:space="preserve">Condensate drain </t>
  </si>
  <si>
    <t>HAVC Schematic (Staircase, Lift Lobby &amp; Lift well pressurisation)</t>
  </si>
  <si>
    <t>Electrical SLD</t>
  </si>
  <si>
    <t>Earthing</t>
  </si>
  <si>
    <t>Earthing Schematic</t>
  </si>
  <si>
    <t>Lightning protection schematic</t>
  </si>
  <si>
    <t>Not in scope</t>
  </si>
  <si>
    <t>ELV schematic</t>
  </si>
  <si>
    <t>FAVA schematic</t>
  </si>
  <si>
    <t>CO Layouts</t>
  </si>
  <si>
    <t>Co-ordinate</t>
  </si>
  <si>
    <t>PLINTH LVL</t>
  </si>
  <si>
    <t>Co-ordinate Layout for Plinth lvl</t>
  </si>
  <si>
    <t>STILT/GROUND FLOOR</t>
  </si>
  <si>
    <t>Co-ordinate Layout for Stilt/Ground floor</t>
  </si>
  <si>
    <t>Co-ordinate Layout for Typical floor</t>
  </si>
  <si>
    <t>REFUGE -8th, 15th &amp; 22nd &amp; 29th FLOOR</t>
  </si>
  <si>
    <t>Co-ordinate Layout for refuge Level 8th, 15th &amp; 22nd &amp; 29th</t>
  </si>
  <si>
    <t xml:space="preserve">Co-ordinate Layout for Terrace level </t>
  </si>
  <si>
    <t>BW Layouts</t>
  </si>
  <si>
    <t xml:space="preserve">Builders work </t>
  </si>
  <si>
    <t>Builders work Layout for Plinth lvl</t>
  </si>
  <si>
    <t>Builders work Layout for Stilt/Ground floor</t>
  </si>
  <si>
    <t>Builders work Layout for Typical floor</t>
  </si>
  <si>
    <t>Builders work Layout for refuge Level 8th, 15th &amp; 22nd &amp; 29th</t>
  </si>
  <si>
    <t xml:space="preserve">Builders work Layout for Terrace level </t>
  </si>
  <si>
    <t>HVAC Layouts</t>
  </si>
  <si>
    <t>HVAC Layout for Stilt/Ground floor</t>
  </si>
  <si>
    <t>HVAC Layout for refuge Level 8th, 15th &amp; 22nd &amp; 29th</t>
  </si>
  <si>
    <t>FF Layouts</t>
  </si>
  <si>
    <t>Fire Fighting Layout for Stilt/Ground floor</t>
  </si>
  <si>
    <t>Fire Fighting Layout for refuge Level 8th, 15th &amp; 22nd &amp; 29th</t>
  </si>
  <si>
    <t>ABOVE TERRACE FLOOR</t>
  </si>
  <si>
    <t xml:space="preserve">Fire Fighting Layout for Above Terrace level </t>
  </si>
  <si>
    <t>PHE Layouts</t>
  </si>
  <si>
    <t>Plumbing Layout for Plinth lvl</t>
  </si>
  <si>
    <t>Plumbing Layout for Stilt/Ground floor</t>
  </si>
  <si>
    <t>FIRST &amp; SECOND FLOOR</t>
  </si>
  <si>
    <t>Plumbing Layout for First &amp; Second floor</t>
  </si>
  <si>
    <t>Plumbing Layout for refuge Level 8th, 15th &amp; 22nd &amp; 29th</t>
  </si>
  <si>
    <t xml:space="preserve">Plumbing Layout for Above Terrace level </t>
  </si>
  <si>
    <t>CONTAINMENT Layouts</t>
  </si>
  <si>
    <t>Containment Layout for Stilt/Ground floor</t>
  </si>
  <si>
    <t>Containment Layout for refuge Level 8th, 15th &amp; 22nd &amp; 29th</t>
  </si>
  <si>
    <t>LIGHTING Layouts</t>
  </si>
  <si>
    <t>Lighting Layout for Stilt/Ground floor</t>
  </si>
  <si>
    <t>Lighting Layout for refuge Level 8th, 15th &amp; 22nd &amp; 29th</t>
  </si>
  <si>
    <t>SMALL POWER Layouts</t>
  </si>
  <si>
    <t>Small Power Layout for Stilt/Ground floor</t>
  </si>
  <si>
    <t>Small Power Layout for Typical floor</t>
  </si>
  <si>
    <t>Small Power Layout for refuge Level 8th, 15th &amp; 22nd &amp; 29th</t>
  </si>
  <si>
    <t xml:space="preserve">Small Power Layout for Terrace level </t>
  </si>
  <si>
    <t>FAVA Layouts</t>
  </si>
  <si>
    <t>FAVA Layout for Stilt/Ground floor</t>
  </si>
  <si>
    <t>FAVA Layout for Typical floor</t>
  </si>
  <si>
    <t>FAVA Layout for refuge Level 8th, 15th &amp; 22nd &amp; 29th</t>
  </si>
  <si>
    <t xml:space="preserve">FAVA Layout for Terrace level </t>
  </si>
  <si>
    <t>ELV Layouts</t>
  </si>
  <si>
    <t>ELV Layout for Stilt/Ground floor</t>
  </si>
  <si>
    <t>ELV Layout for refuge Level 8th, 15th &amp; 22nd &amp; 29th</t>
  </si>
  <si>
    <t>LPS Layouts</t>
  </si>
  <si>
    <t>LPS</t>
  </si>
  <si>
    <t>Lightning Protection Layout for Plinth lvl</t>
  </si>
  <si>
    <t>Lightning Protection Layout for Stilt/Ground floor</t>
  </si>
  <si>
    <t>Lightning Protection Layout for Typical floor</t>
  </si>
  <si>
    <t>Lightning Protection Layout for refuge Level 8th, 15th &amp; 22nd &amp; 29th</t>
  </si>
  <si>
    <t xml:space="preserve">Lightning Protection Layout for Terrace level </t>
  </si>
  <si>
    <t xml:space="preserve">Lightning Protection Layout for above Terrace level </t>
  </si>
  <si>
    <t>Sketch</t>
  </si>
  <si>
    <t>Dwg Refernce No.</t>
  </si>
  <si>
    <t>Sketch for …. lvl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</si>
</sst>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-409]dd/mmm/yy"/>
    <numFmt numFmtId="165" formatCode="[$-409]d/mmm/yy"/>
    <numFmt numFmtId="166" formatCode="[$-409]d\-mmm\-yy"/>
  </numFmts>
  <fonts count="19">
    <font>
      <sz val="11.0"/>
      <color theme="1"/>
      <name val="Calibri"/>
      <scheme val="minor"/>
    </font>
    <font>
      <sz val="25.0"/>
      <color theme="1"/>
      <name val="Calibri"/>
    </font>
    <font/>
    <font>
      <sz val="11.0"/>
      <color theme="1"/>
      <name val="Calibri"/>
    </font>
    <font>
      <b/>
      <u/>
      <sz val="11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i/>
      <sz val="10.0"/>
      <color rgb="FF000000"/>
      <name val="Arial"/>
    </font>
    <font>
      <sz val="10.0"/>
      <color rgb="FF000000"/>
      <name val="Arial"/>
    </font>
    <font>
      <strike/>
      <sz val="11.0"/>
      <color theme="1"/>
      <name val="Calibri"/>
    </font>
    <font>
      <b/>
      <sz val="11.0"/>
      <color rgb="FF000000"/>
      <name val="Calibri"/>
    </font>
    <font>
      <b/>
      <sz val="15.0"/>
      <color rgb="FF000000"/>
      <name val="Calibri"/>
    </font>
    <font>
      <b/>
      <sz val="11.0"/>
      <color rgb="FFFF0000"/>
      <name val="Calibri"/>
    </font>
    <font>
      <sz val="10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>
      <sz val="10.0"/>
      <color theme="1"/>
      <name val="Arial"/>
    </font>
    <font>
      <color theme="1"/>
      <name val="Calibri"/>
      <scheme val="minor"/>
    </font>
    <font>
      <b/>
      <sz val="12.0"/>
      <color theme="1"/>
      <name val="Calibri"/>
    </font>
  </fonts>
  <fills count="2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DBDB"/>
        <bgColor rgb="FFF2DBDB"/>
      </patternFill>
    </fill>
    <fill>
      <patternFill patternType="solid">
        <fgColor rgb="FFFBD4B4"/>
        <bgColor rgb="FFFBD4B4"/>
      </patternFill>
    </fill>
    <fill>
      <patternFill patternType="solid">
        <fgColor rgb="FF92CDDC"/>
        <bgColor rgb="FF92CDDC"/>
      </patternFill>
    </fill>
    <fill>
      <patternFill patternType="solid">
        <fgColor rgb="FFC2D69B"/>
        <bgColor rgb="FFC2D69B"/>
      </patternFill>
    </fill>
    <fill>
      <patternFill patternType="solid">
        <fgColor rgb="FFB2A1C7"/>
        <bgColor rgb="FFB2A1C7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F7F7F"/>
        <bgColor rgb="FF7F7F7F"/>
      </patternFill>
    </fill>
    <fill>
      <patternFill patternType="solid">
        <fgColor rgb="FFFFC000"/>
        <bgColor rgb="FFFFC000"/>
      </patternFill>
    </fill>
    <fill>
      <patternFill patternType="solid">
        <fgColor rgb="FFB8CCE4"/>
        <bgColor rgb="FFB8CCE4"/>
      </patternFill>
    </fill>
    <fill>
      <patternFill patternType="solid">
        <fgColor rgb="FFF2DCDB"/>
        <bgColor rgb="FFF2DCDB"/>
      </patternFill>
    </fill>
    <fill>
      <patternFill patternType="solid">
        <fgColor theme="0"/>
        <bgColor theme="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8DB3E2"/>
        <bgColor rgb="FF8DB3E2"/>
      </patternFill>
    </fill>
    <fill>
      <patternFill patternType="solid">
        <fgColor rgb="FFDDD9C3"/>
        <bgColor rgb="FFDDD9C3"/>
      </patternFill>
    </fill>
    <fill>
      <patternFill patternType="solid">
        <fgColor rgb="FF92D050"/>
        <bgColor rgb="FF92D050"/>
      </patternFill>
    </fill>
  </fills>
  <borders count="38">
    <border/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2" fontId="3" numFmtId="0" xfId="0" applyBorder="1" applyFont="1"/>
    <xf borderId="5" fillId="2" fontId="3" numFmtId="17" xfId="0" applyBorder="1" applyFont="1" applyNumberFormat="1"/>
    <xf borderId="6" fillId="2" fontId="3" numFmtId="17" xfId="0" applyBorder="1" applyFont="1" applyNumberFormat="1"/>
    <xf borderId="7" fillId="0" fontId="3" numFmtId="0" xfId="0" applyBorder="1" applyFont="1"/>
    <xf borderId="0" fillId="0" fontId="3" numFmtId="0" xfId="0" applyFont="1"/>
    <xf borderId="5" fillId="3" fontId="3" numFmtId="0" xfId="0" applyBorder="1" applyFill="1" applyFont="1"/>
    <xf borderId="5" fillId="4" fontId="3" numFmtId="0" xfId="0" applyBorder="1" applyFill="1" applyFont="1"/>
    <xf borderId="8" fillId="4" fontId="3" numFmtId="0" xfId="0" applyBorder="1" applyFont="1"/>
    <xf borderId="9" fillId="5" fontId="3" numFmtId="0" xfId="0" applyBorder="1" applyFill="1" applyFont="1"/>
    <xf borderId="9" fillId="6" fontId="3" numFmtId="0" xfId="0" applyBorder="1" applyFill="1" applyFont="1"/>
    <xf borderId="10" fillId="6" fontId="3" numFmtId="0" xfId="0" applyBorder="1" applyFont="1"/>
    <xf borderId="0" fillId="0" fontId="3" numFmtId="17" xfId="0" applyFont="1" applyNumberFormat="1"/>
    <xf borderId="11" fillId="0" fontId="3" numFmtId="0" xfId="0" applyBorder="1" applyFont="1"/>
    <xf borderId="4" fillId="7" fontId="3" numFmtId="0" xfId="0" applyBorder="1" applyFill="1" applyFont="1"/>
    <xf borderId="5" fillId="7" fontId="3" numFmtId="0" xfId="0" applyBorder="1" applyFont="1"/>
    <xf borderId="4" fillId="4" fontId="3" numFmtId="0" xfId="0" applyBorder="1" applyFont="1"/>
    <xf borderId="5" fillId="5" fontId="3" numFmtId="0" xfId="0" applyBorder="1" applyFont="1"/>
    <xf borderId="6" fillId="6" fontId="3" numFmtId="0" xfId="0" applyBorder="1" applyFont="1"/>
    <xf borderId="5" fillId="6" fontId="3" numFmtId="0" xfId="0" applyBorder="1" applyFont="1"/>
    <xf borderId="6" fillId="7" fontId="3" numFmtId="0" xfId="0" applyBorder="1" applyFont="1"/>
    <xf borderId="4" fillId="3" fontId="3" numFmtId="0" xfId="0" applyBorder="1" applyFont="1"/>
    <xf borderId="6" fillId="5" fontId="3" numFmtId="0" xfId="0" applyBorder="1" applyFont="1"/>
    <xf borderId="6" fillId="4" fontId="3" numFmtId="0" xfId="0" applyBorder="1" applyFont="1"/>
    <xf borderId="12" fillId="7" fontId="3" numFmtId="0" xfId="0" applyBorder="1" applyFont="1"/>
    <xf borderId="13" fillId="7" fontId="3" numFmtId="0" xfId="0" applyBorder="1" applyFont="1"/>
    <xf borderId="14" fillId="0" fontId="3" numFmtId="0" xfId="0" applyBorder="1" applyFont="1"/>
    <xf borderId="4" fillId="5" fontId="3" numFmtId="0" xfId="0" applyBorder="1" applyFont="1"/>
    <xf borderId="4" fillId="6" fontId="3" numFmtId="0" xfId="0" applyBorder="1" applyFont="1"/>
    <xf borderId="15" fillId="0" fontId="3" numFmtId="0" xfId="0" applyBorder="1" applyFont="1"/>
    <xf borderId="16" fillId="0" fontId="3" numFmtId="0" xfId="0" applyAlignment="1" applyBorder="1" applyFont="1">
      <alignment vertical="center"/>
    </xf>
    <xf borderId="17" fillId="0" fontId="4" numFmtId="0" xfId="0" applyAlignment="1" applyBorder="1" applyFont="1">
      <alignment vertical="center"/>
    </xf>
    <xf borderId="18" fillId="0" fontId="5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5" numFmtId="0" xfId="0" applyAlignment="1" applyBorder="1" applyFont="1">
      <alignment horizontal="center" vertical="center"/>
    </xf>
    <xf borderId="21" fillId="2" fontId="5" numFmtId="0" xfId="0" applyAlignment="1" applyBorder="1" applyFont="1">
      <alignment horizontal="center" vertical="center"/>
    </xf>
    <xf borderId="0" fillId="0" fontId="3" numFmtId="0" xfId="0" applyAlignment="1" applyFont="1">
      <alignment vertical="center"/>
    </xf>
    <xf borderId="22" fillId="0" fontId="5" numFmtId="0" xfId="0" applyAlignment="1" applyBorder="1" applyFont="1">
      <alignment vertical="center"/>
    </xf>
    <xf borderId="17" fillId="0" fontId="5" numFmtId="0" xfId="0" applyAlignment="1" applyBorder="1" applyFont="1">
      <alignment vertical="center"/>
    </xf>
    <xf borderId="23" fillId="0" fontId="2" numFmtId="0" xfId="0" applyBorder="1" applyFont="1"/>
    <xf borderId="24" fillId="2" fontId="5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17" fillId="8" fontId="5" numFmtId="0" xfId="0" applyAlignment="1" applyBorder="1" applyFill="1" applyFont="1">
      <alignment shrinkToFit="0" vertical="center" wrapText="1"/>
    </xf>
    <xf borderId="25" fillId="9" fontId="6" numFmtId="0" xfId="0" applyAlignment="1" applyBorder="1" applyFill="1" applyFont="1">
      <alignment horizontal="center" shrinkToFit="0" vertical="center" wrapText="1"/>
    </xf>
    <xf borderId="26" fillId="9" fontId="6" numFmtId="0" xfId="0" applyAlignment="1" applyBorder="1" applyFont="1">
      <alignment horizontal="center" shrinkToFit="0" vertical="center" wrapText="1"/>
    </xf>
    <xf borderId="17" fillId="8" fontId="5" numFmtId="0" xfId="0" applyAlignment="1" applyBorder="1" applyFont="1">
      <alignment horizontal="center" vertical="center"/>
    </xf>
    <xf borderId="26" fillId="9" fontId="5" numFmtId="0" xfId="0" applyAlignment="1" applyBorder="1" applyFont="1">
      <alignment horizontal="center" shrinkToFit="0" vertical="center" wrapText="1"/>
    </xf>
    <xf borderId="27" fillId="9" fontId="6" numFmtId="0" xfId="0" applyAlignment="1" applyBorder="1" applyFont="1">
      <alignment horizontal="center" shrinkToFit="0" vertical="center" wrapText="1"/>
    </xf>
    <xf borderId="28" fillId="8" fontId="5" numFmtId="0" xfId="0" applyAlignment="1" applyBorder="1" applyFont="1">
      <alignment horizontal="center" vertical="center"/>
    </xf>
    <xf borderId="22" fillId="0" fontId="5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30" fillId="0" fontId="2" numFmtId="0" xfId="0" applyBorder="1" applyFont="1"/>
    <xf borderId="22" fillId="0" fontId="2" numFmtId="0" xfId="0" applyBorder="1" applyFont="1"/>
    <xf borderId="17" fillId="2" fontId="5" numFmtId="0" xfId="0" applyAlignment="1" applyBorder="1" applyFont="1">
      <alignment shrinkToFit="0" vertical="center" wrapText="1"/>
    </xf>
    <xf borderId="28" fillId="3" fontId="5" numFmtId="0" xfId="0" applyAlignment="1" applyBorder="1" applyFont="1">
      <alignment horizontal="center" vertical="center"/>
    </xf>
    <xf borderId="31" fillId="0" fontId="2" numFmtId="0" xfId="0" applyBorder="1" applyFont="1"/>
    <xf borderId="17" fillId="10" fontId="5" numFmtId="0" xfId="0" applyAlignment="1" applyBorder="1" applyFill="1" applyFont="1">
      <alignment horizontal="center" vertical="center"/>
    </xf>
    <xf borderId="32" fillId="0" fontId="2" numFmtId="0" xfId="0" applyBorder="1" applyFont="1"/>
    <xf borderId="28" fillId="10" fontId="5" numFmtId="0" xfId="0" applyAlignment="1" applyBorder="1" applyFont="1">
      <alignment horizontal="center" vertical="center"/>
    </xf>
    <xf borderId="17" fillId="9" fontId="3" numFmtId="1" xfId="0" applyAlignment="1" applyBorder="1" applyFont="1" applyNumberFormat="1">
      <alignment horizontal="center" vertical="center"/>
    </xf>
    <xf borderId="17" fillId="0" fontId="3" numFmtId="15" xfId="0" applyAlignment="1" applyBorder="1" applyFont="1" applyNumberFormat="1">
      <alignment horizontal="center" vertical="center"/>
    </xf>
    <xf borderId="17" fillId="0" fontId="3" numFmtId="164" xfId="0" applyAlignment="1" applyBorder="1" applyFont="1" applyNumberFormat="1">
      <alignment horizontal="center" vertical="center"/>
    </xf>
    <xf borderId="33" fillId="9" fontId="3" numFmtId="1" xfId="0" applyAlignment="1" applyBorder="1" applyFont="1" applyNumberFormat="1">
      <alignment horizontal="center" vertical="center"/>
    </xf>
    <xf borderId="24" fillId="2" fontId="3" numFmtId="15" xfId="0" applyAlignment="1" applyBorder="1" applyFont="1" applyNumberFormat="1">
      <alignment horizontal="center" vertical="center"/>
    </xf>
    <xf borderId="28" fillId="8" fontId="3" numFmtId="15" xfId="0" applyAlignment="1" applyBorder="1" applyFont="1" applyNumberFormat="1">
      <alignment horizontal="center" vertical="center"/>
    </xf>
    <xf borderId="22" fillId="0" fontId="3" numFmtId="0" xfId="0" applyAlignment="1" applyBorder="1" applyFont="1">
      <alignment vertical="center"/>
    </xf>
    <xf borderId="17" fillId="3" fontId="3" numFmtId="0" xfId="0" applyAlignment="1" applyBorder="1" applyFont="1">
      <alignment shrinkToFit="0" vertical="center" wrapText="1"/>
    </xf>
    <xf borderId="17" fillId="3" fontId="3" numFmtId="1" xfId="0" applyAlignment="1" applyBorder="1" applyFont="1" applyNumberFormat="1">
      <alignment horizontal="center" vertical="center"/>
    </xf>
    <xf borderId="17" fillId="3" fontId="3" numFmtId="15" xfId="0" applyAlignment="1" applyBorder="1" applyFont="1" applyNumberFormat="1">
      <alignment horizontal="center" vertical="center"/>
    </xf>
    <xf borderId="17" fillId="3" fontId="3" numFmtId="164" xfId="0" applyAlignment="1" applyBorder="1" applyFont="1" applyNumberFormat="1">
      <alignment horizontal="center" vertical="center"/>
    </xf>
    <xf borderId="34" fillId="3" fontId="3" numFmtId="1" xfId="0" applyAlignment="1" applyBorder="1" applyFont="1" applyNumberFormat="1">
      <alignment horizontal="center" vertical="center"/>
    </xf>
    <xf borderId="17" fillId="0" fontId="3" numFmtId="0" xfId="0" applyAlignment="1" applyBorder="1" applyFont="1">
      <alignment shrinkToFit="0" vertical="center" wrapText="1"/>
    </xf>
    <xf borderId="34" fillId="2" fontId="3" numFmtId="0" xfId="0" applyAlignment="1" applyBorder="1" applyFont="1">
      <alignment horizontal="center" vertical="center"/>
    </xf>
    <xf borderId="17" fillId="2" fontId="3" numFmtId="164" xfId="0" applyAlignment="1" applyBorder="1" applyFont="1" applyNumberFormat="1">
      <alignment horizontal="center" vertical="center"/>
    </xf>
    <xf borderId="34" fillId="9" fontId="3" numFmtId="0" xfId="0" applyAlignment="1" applyBorder="1" applyFont="1">
      <alignment horizontal="center" vertical="center"/>
    </xf>
    <xf borderId="33" fillId="9" fontId="3" numFmtId="0" xfId="0" applyAlignment="1" applyBorder="1" applyFont="1">
      <alignment horizontal="center" vertical="center"/>
    </xf>
    <xf borderId="18" fillId="0" fontId="3" numFmtId="165" xfId="0" applyAlignment="1" applyBorder="1" applyFont="1" applyNumberFormat="1">
      <alignment horizontal="center" vertical="center"/>
    </xf>
    <xf borderId="24" fillId="2" fontId="3" numFmtId="165" xfId="0" applyAlignment="1" applyBorder="1" applyFont="1" applyNumberFormat="1">
      <alignment horizontal="center" vertical="center"/>
    </xf>
    <xf borderId="17" fillId="11" fontId="7" numFmtId="0" xfId="0" applyAlignment="1" applyBorder="1" applyFill="1" applyFont="1">
      <alignment horizontal="left" shrinkToFit="0" wrapText="1"/>
    </xf>
    <xf borderId="34" fillId="12" fontId="3" numFmtId="0" xfId="0" applyAlignment="1" applyBorder="1" applyFill="1" applyFont="1">
      <alignment horizontal="center" vertical="center"/>
    </xf>
    <xf borderId="33" fillId="2" fontId="3" numFmtId="0" xfId="0" applyAlignment="1" applyBorder="1" applyFont="1">
      <alignment horizontal="center" vertical="center"/>
    </xf>
    <xf borderId="28" fillId="2" fontId="3" numFmtId="165" xfId="0" applyAlignment="1" applyBorder="1" applyFont="1" applyNumberFormat="1">
      <alignment horizontal="center" vertical="center"/>
    </xf>
    <xf quotePrefix="1" borderId="17" fillId="11" fontId="7" numFmtId="0" xfId="0" applyAlignment="1" applyBorder="1" applyFont="1">
      <alignment horizontal="left" shrinkToFit="0" wrapText="1"/>
    </xf>
    <xf borderId="17" fillId="11" fontId="8" numFmtId="0" xfId="0" applyAlignment="1" applyBorder="1" applyFont="1">
      <alignment horizontal="left" shrinkToFit="0" wrapText="1"/>
    </xf>
    <xf borderId="17" fillId="0" fontId="9" numFmtId="0" xfId="0" applyAlignment="1" applyBorder="1" applyFont="1">
      <alignment shrinkToFit="0" vertical="center" wrapText="1"/>
    </xf>
    <xf borderId="34" fillId="13" fontId="3" numFmtId="0" xfId="0" applyAlignment="1" applyBorder="1" applyFill="1" applyFont="1">
      <alignment horizontal="center" vertical="center"/>
    </xf>
    <xf borderId="33" fillId="13" fontId="3" numFmtId="0" xfId="0" applyAlignment="1" applyBorder="1" applyFont="1">
      <alignment horizontal="center" vertical="center"/>
    </xf>
    <xf borderId="28" fillId="13" fontId="3" numFmtId="165" xfId="0" applyAlignment="1" applyBorder="1" applyFont="1" applyNumberFormat="1">
      <alignment horizontal="center" vertical="center"/>
    </xf>
    <xf borderId="24" fillId="13" fontId="3" numFmtId="165" xfId="0" applyAlignment="1" applyBorder="1" applyFont="1" applyNumberFormat="1">
      <alignment horizontal="center" vertical="center"/>
    </xf>
    <xf borderId="17" fillId="13" fontId="3" numFmtId="15" xfId="0" applyAlignment="1" applyBorder="1" applyFont="1" applyNumberFormat="1">
      <alignment horizontal="center" vertical="center"/>
    </xf>
    <xf borderId="17" fillId="14" fontId="3" numFmtId="164" xfId="0" applyAlignment="1" applyBorder="1" applyFill="1" applyFont="1" applyNumberFormat="1">
      <alignment horizontal="center" vertical="center"/>
    </xf>
    <xf borderId="35" fillId="2" fontId="3" numFmtId="165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shrinkToFit="0" vertical="center" wrapText="1"/>
    </xf>
    <xf borderId="17" fillId="9" fontId="5" numFmtId="0" xfId="0" applyAlignment="1" applyBorder="1" applyFont="1">
      <alignment horizontal="center" vertical="center"/>
    </xf>
    <xf borderId="34" fillId="9" fontId="5" numFmtId="0" xfId="0" applyAlignment="1" applyBorder="1" applyFont="1">
      <alignment horizontal="center" vertical="center"/>
    </xf>
    <xf borderId="17" fillId="0" fontId="5" numFmtId="165" xfId="0" applyAlignment="1" applyBorder="1" applyFont="1" applyNumberFormat="1">
      <alignment horizontal="center" vertical="center"/>
    </xf>
    <xf borderId="17" fillId="2" fontId="5" numFmtId="165" xfId="0" applyAlignment="1" applyBorder="1" applyFont="1" applyNumberFormat="1">
      <alignment horizontal="center" vertical="center"/>
    </xf>
    <xf borderId="17" fillId="0" fontId="5" numFmtId="15" xfId="0" applyAlignment="1" applyBorder="1" applyFont="1" applyNumberFormat="1">
      <alignment horizontal="center" vertical="center"/>
    </xf>
    <xf borderId="18" fillId="0" fontId="3" numFmtId="0" xfId="0" applyAlignment="1" applyBorder="1" applyFont="1">
      <alignment vertical="center"/>
    </xf>
    <xf borderId="19" fillId="0" fontId="3" numFmtId="0" xfId="0" applyAlignment="1" applyBorder="1" applyFont="1">
      <alignment vertical="center"/>
    </xf>
    <xf borderId="22" fillId="0" fontId="3" numFmtId="0" xfId="0" applyBorder="1" applyFont="1"/>
    <xf borderId="22" fillId="0" fontId="5" numFmtId="0" xfId="0" applyAlignment="1" applyBorder="1" applyFont="1">
      <alignment horizontal="center" vertical="center"/>
    </xf>
    <xf borderId="36" fillId="0" fontId="6" numFmtId="0" xfId="0" applyAlignment="1" applyBorder="1" applyFont="1">
      <alignment horizontal="center" vertical="center"/>
    </xf>
    <xf borderId="37" fillId="0" fontId="2" numFmtId="0" xfId="0" applyBorder="1" applyFont="1"/>
    <xf borderId="17" fillId="8" fontId="6" numFmtId="0" xfId="0" applyAlignment="1" applyBorder="1" applyFont="1">
      <alignment horizontal="center" vertical="center"/>
    </xf>
    <xf borderId="17" fillId="15" fontId="6" numFmtId="0" xfId="0" applyAlignment="1" applyBorder="1" applyFill="1" applyFont="1">
      <alignment horizontal="center" vertical="center"/>
    </xf>
    <xf borderId="17" fillId="9" fontId="6" numFmtId="0" xfId="0" applyAlignment="1" applyBorder="1" applyFont="1">
      <alignment horizontal="center" shrinkToFit="0" vertical="center" wrapText="1"/>
    </xf>
    <xf borderId="17" fillId="10" fontId="6" numFmtId="0" xfId="0" applyAlignment="1" applyBorder="1" applyFont="1">
      <alignment horizontal="center" vertical="center"/>
    </xf>
    <xf borderId="17" fillId="9" fontId="5" numFmtId="0" xfId="0" applyAlignment="1" applyBorder="1" applyFont="1">
      <alignment horizontal="center" shrinkToFit="0" vertical="center" wrapText="1"/>
    </xf>
    <xf borderId="17" fillId="10" fontId="3" numFmtId="15" xfId="0" applyAlignment="1" applyBorder="1" applyFont="1" applyNumberFormat="1">
      <alignment horizontal="center" vertical="center"/>
    </xf>
    <xf borderId="17" fillId="2" fontId="9" numFmtId="0" xfId="0" applyAlignment="1" applyBorder="1" applyFont="1">
      <alignment shrinkToFit="0" vertical="center" wrapText="1"/>
    </xf>
    <xf borderId="17" fillId="3" fontId="5" numFmtId="0" xfId="0" applyAlignment="1" applyBorder="1" applyFont="1">
      <alignment shrinkToFit="0" vertical="center" wrapText="1"/>
    </xf>
    <xf borderId="19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3" numFmtId="0" xfId="0" applyAlignment="1" applyFont="1">
      <alignment horizontal="left"/>
    </xf>
    <xf borderId="17" fillId="15" fontId="10" numFmtId="0" xfId="0" applyAlignment="1" applyBorder="1" applyFont="1">
      <alignment horizontal="center" shrinkToFit="0" vertical="top" wrapText="1"/>
    </xf>
    <xf borderId="18" fillId="15" fontId="11" numFmtId="0" xfId="0" applyAlignment="1" applyBorder="1" applyFont="1">
      <alignment horizontal="center" shrinkToFit="0" vertical="center" wrapText="1"/>
    </xf>
    <xf borderId="0" fillId="4" fontId="11" numFmtId="0" xfId="0" applyAlignment="1" applyFont="1">
      <alignment horizontal="center" shrinkToFit="0" vertical="center" wrapText="1"/>
    </xf>
    <xf borderId="0" fillId="15" fontId="12" numFmtId="0" xfId="0" applyAlignment="1" applyFont="1">
      <alignment horizontal="left" shrinkToFit="0" vertical="top" wrapText="1"/>
    </xf>
    <xf borderId="0" fillId="15" fontId="10" numFmtId="0" xfId="0" applyAlignment="1" applyFont="1">
      <alignment horizontal="center" shrinkToFit="0" vertical="top" wrapText="1"/>
    </xf>
    <xf borderId="0" fillId="0" fontId="13" numFmtId="0" xfId="0" applyAlignment="1" applyFont="1">
      <alignment shrinkToFit="0" vertical="top" wrapText="1"/>
    </xf>
    <xf borderId="0" fillId="4" fontId="10" numFmtId="0" xfId="0" applyAlignment="1" applyFont="1">
      <alignment horizontal="center" shrinkToFit="0" vertical="top" wrapText="1"/>
    </xf>
    <xf borderId="0" fillId="15" fontId="12" numFmtId="0" xfId="0" applyAlignment="1" applyFont="1">
      <alignment horizontal="left" vertical="top"/>
    </xf>
    <xf borderId="17" fillId="0" fontId="14" numFmtId="0" xfId="0" applyAlignment="1" applyBorder="1" applyFont="1">
      <alignment horizontal="center" shrinkToFit="0" vertical="top" wrapText="1"/>
    </xf>
    <xf borderId="17" fillId="0" fontId="10" numFmtId="0" xfId="0" applyAlignment="1" applyBorder="1" applyFont="1">
      <alignment horizontal="left" readingOrder="0" shrinkToFit="0" vertical="top" wrapText="1"/>
    </xf>
    <xf borderId="17" fillId="0" fontId="14" numFmtId="14" xfId="0" applyAlignment="1" applyBorder="1" applyFont="1" applyNumberFormat="1">
      <alignment horizontal="left" shrinkToFit="0" vertical="top" wrapText="1"/>
    </xf>
    <xf borderId="17" fillId="0" fontId="14" numFmtId="14" xfId="0" applyAlignment="1" applyBorder="1" applyFont="1" applyNumberFormat="1">
      <alignment horizontal="center" shrinkToFit="0" vertical="top" wrapText="1"/>
    </xf>
    <xf borderId="17" fillId="0" fontId="14" numFmtId="15" xfId="0" applyAlignment="1" applyBorder="1" applyFont="1" applyNumberFormat="1">
      <alignment horizontal="center" shrinkToFit="0" vertical="top" wrapText="1"/>
    </xf>
    <xf borderId="0" fillId="4" fontId="14" numFmtId="15" xfId="0" applyAlignment="1" applyFont="1" applyNumberFormat="1">
      <alignment horizontal="center" shrinkToFit="0" vertical="top" wrapText="1"/>
    </xf>
    <xf borderId="0" fillId="0" fontId="14" numFmtId="14" xfId="0" applyAlignment="1" applyFont="1" applyNumberFormat="1">
      <alignment horizontal="left" vertical="top"/>
    </xf>
    <xf borderId="0" fillId="0" fontId="14" numFmtId="0" xfId="0" applyAlignment="1" applyFont="1">
      <alignment horizontal="center" shrinkToFit="0" vertical="top" wrapText="1"/>
    </xf>
    <xf borderId="17" fillId="0" fontId="10" numFmtId="14" xfId="0" applyAlignment="1" applyBorder="1" applyFont="1" applyNumberFormat="1">
      <alignment horizontal="left" shrinkToFit="0" vertical="top" wrapText="1"/>
    </xf>
    <xf borderId="17" fillId="6" fontId="14" numFmtId="15" xfId="0" applyAlignment="1" applyBorder="1" applyFont="1" applyNumberFormat="1">
      <alignment horizontal="center" shrinkToFit="0" vertical="top" wrapText="1"/>
    </xf>
    <xf borderId="17" fillId="16" fontId="14" numFmtId="0" xfId="0" applyAlignment="1" applyBorder="1" applyFill="1" applyFont="1">
      <alignment horizontal="center" shrinkToFit="0" vertical="top" wrapText="1"/>
    </xf>
    <xf borderId="17" fillId="16" fontId="10" numFmtId="14" xfId="0" applyAlignment="1" applyBorder="1" applyFont="1" applyNumberFormat="1">
      <alignment horizontal="left" shrinkToFit="0" vertical="top" wrapText="1"/>
    </xf>
    <xf borderId="17" fillId="16" fontId="10" numFmtId="15" xfId="0" applyAlignment="1" applyBorder="1" applyFont="1" applyNumberFormat="1">
      <alignment horizontal="left" shrinkToFit="0" vertical="top" wrapText="1"/>
    </xf>
    <xf borderId="0" fillId="4" fontId="10" numFmtId="15" xfId="0" applyAlignment="1" applyFont="1" applyNumberFormat="1">
      <alignment horizontal="left" shrinkToFit="0" vertical="top" wrapText="1"/>
    </xf>
    <xf borderId="0" fillId="16" fontId="10" numFmtId="14" xfId="0" applyAlignment="1" applyFont="1" applyNumberFormat="1">
      <alignment horizontal="left" vertical="top"/>
    </xf>
    <xf borderId="26" fillId="0" fontId="14" numFmtId="14" xfId="0" applyAlignment="1" applyBorder="1" applyFont="1" applyNumberFormat="1">
      <alignment horizontal="left" shrinkToFit="0" vertical="center" wrapText="1"/>
    </xf>
    <xf borderId="17" fillId="0" fontId="14" numFmtId="15" xfId="0" applyAlignment="1" applyBorder="1" applyFont="1" applyNumberFormat="1">
      <alignment horizontal="left" shrinkToFit="0" vertical="top" wrapText="1"/>
    </xf>
    <xf borderId="0" fillId="4" fontId="14" numFmtId="15" xfId="0" applyAlignment="1" applyFont="1" applyNumberFormat="1">
      <alignment horizontal="left" shrinkToFit="0" vertical="top" wrapText="1"/>
    </xf>
    <xf borderId="0" fillId="0" fontId="10" numFmtId="14" xfId="0" applyAlignment="1" applyFont="1" applyNumberFormat="1">
      <alignment horizontal="left" vertical="top"/>
    </xf>
    <xf borderId="17" fillId="0" fontId="10" numFmtId="15" xfId="0" applyAlignment="1" applyBorder="1" applyFont="1" applyNumberFormat="1">
      <alignment horizontal="left" shrinkToFit="0" vertical="top" wrapText="1"/>
    </xf>
    <xf borderId="17" fillId="0" fontId="14" numFmtId="3" xfId="0" applyAlignment="1" applyBorder="1" applyFont="1" applyNumberFormat="1">
      <alignment horizontal="center" shrinkToFit="0" vertical="top" wrapText="1"/>
    </xf>
    <xf borderId="17" fillId="10" fontId="15" numFmtId="15" xfId="0" applyAlignment="1" applyBorder="1" applyFont="1" applyNumberFormat="1">
      <alignment horizontal="center" shrinkToFit="0" vertical="top" wrapText="1"/>
    </xf>
    <xf borderId="17" fillId="0" fontId="3" numFmtId="0" xfId="0" applyAlignment="1" applyBorder="1" applyFont="1">
      <alignment horizontal="center"/>
    </xf>
    <xf borderId="17" fillId="16" fontId="10" numFmtId="15" xfId="0" applyAlignment="1" applyBorder="1" applyFont="1" applyNumberFormat="1">
      <alignment horizontal="center" shrinkToFit="0" vertical="top" wrapText="1"/>
    </xf>
    <xf borderId="17" fillId="16" fontId="14" numFmtId="15" xfId="0" applyAlignment="1" applyBorder="1" applyFont="1" applyNumberFormat="1">
      <alignment horizontal="left" shrinkToFit="0" vertical="top" wrapText="1"/>
    </xf>
    <xf borderId="17" fillId="16" fontId="14" numFmtId="15" xfId="0" applyAlignment="1" applyBorder="1" applyFont="1" applyNumberFormat="1">
      <alignment horizontal="center" shrinkToFit="0" vertical="top" wrapText="1"/>
    </xf>
    <xf borderId="17" fillId="17" fontId="14" numFmtId="15" xfId="0" applyAlignment="1" applyBorder="1" applyFill="1" applyFont="1" applyNumberFormat="1">
      <alignment horizontal="center" shrinkToFit="0" vertical="top" wrapText="1"/>
    </xf>
    <xf borderId="17" fillId="17" fontId="14" numFmtId="0" xfId="0" applyAlignment="1" applyBorder="1" applyFont="1">
      <alignment horizontal="center" shrinkToFit="0" vertical="top" wrapText="1"/>
    </xf>
    <xf borderId="17" fillId="17" fontId="14" numFmtId="14" xfId="0" applyAlignment="1" applyBorder="1" applyFont="1" applyNumberFormat="1">
      <alignment horizontal="left" shrinkToFit="0" vertical="top" wrapText="1"/>
    </xf>
    <xf borderId="17" fillId="17" fontId="14" numFmtId="14" xfId="0" applyAlignment="1" applyBorder="1" applyFont="1" applyNumberFormat="1">
      <alignment horizontal="center" shrinkToFit="0" vertical="top" wrapText="1"/>
    </xf>
    <xf borderId="17" fillId="17" fontId="14" numFmtId="15" xfId="0" applyAlignment="1" applyBorder="1" applyFont="1" applyNumberFormat="1">
      <alignment horizontal="center" vertical="top"/>
    </xf>
    <xf borderId="0" fillId="17" fontId="14" numFmtId="14" xfId="0" applyAlignment="1" applyFont="1" applyNumberFormat="1">
      <alignment horizontal="left" vertical="top"/>
    </xf>
    <xf borderId="0" fillId="17" fontId="14" numFmtId="0" xfId="0" applyAlignment="1" applyFont="1">
      <alignment horizontal="center" shrinkToFit="0" vertical="top" wrapText="1"/>
    </xf>
    <xf borderId="0" fillId="17" fontId="13" numFmtId="0" xfId="0" applyAlignment="1" applyFont="1">
      <alignment shrinkToFit="0" vertical="top" wrapText="1"/>
    </xf>
    <xf borderId="0" fillId="17" fontId="10" numFmtId="14" xfId="0" applyAlignment="1" applyFont="1" applyNumberFormat="1">
      <alignment horizontal="left" vertical="top"/>
    </xf>
    <xf borderId="17" fillId="17" fontId="15" numFmtId="14" xfId="0" applyAlignment="1" applyBorder="1" applyFont="1" applyNumberFormat="1">
      <alignment horizontal="left" shrinkToFit="0" vertical="top" wrapText="1"/>
    </xf>
    <xf borderId="0" fillId="17" fontId="14" numFmtId="0" xfId="0" applyAlignment="1" applyFont="1">
      <alignment horizontal="left" shrinkToFit="0" vertical="top" wrapText="1"/>
    </xf>
    <xf borderId="17" fillId="17" fontId="14" numFmtId="0" xfId="0" applyAlignment="1" applyBorder="1" applyFont="1">
      <alignment horizontal="left" shrinkToFit="0" vertical="top" wrapText="1"/>
    </xf>
    <xf borderId="0" fillId="4" fontId="10" numFmtId="15" xfId="0" applyAlignment="1" applyFont="1" applyNumberFormat="1">
      <alignment horizontal="center" shrinkToFit="0" vertical="top" wrapText="1"/>
    </xf>
    <xf borderId="0" fillId="17" fontId="14" numFmtId="15" xfId="0" applyAlignment="1" applyFont="1" applyNumberFormat="1">
      <alignment horizontal="center" shrinkToFit="0" vertical="top" wrapText="1"/>
    </xf>
    <xf borderId="17" fillId="18" fontId="14" numFmtId="0" xfId="0" applyAlignment="1" applyBorder="1" applyFill="1" applyFont="1">
      <alignment horizontal="center" shrinkToFit="0" vertical="top" wrapText="1"/>
    </xf>
    <xf borderId="17" fillId="18" fontId="3" numFmtId="0" xfId="0" applyAlignment="1" applyBorder="1" applyFont="1">
      <alignment readingOrder="0" shrinkToFit="0" vertical="top" wrapText="1"/>
    </xf>
    <xf borderId="17" fillId="18" fontId="14" numFmtId="14" xfId="0" applyAlignment="1" applyBorder="1" applyFont="1" applyNumberFormat="1">
      <alignment horizontal="left" shrinkToFit="0" vertical="top" wrapText="1"/>
    </xf>
    <xf borderId="17" fillId="18" fontId="3" numFmtId="0" xfId="0" applyAlignment="1" applyBorder="1" applyFont="1">
      <alignment horizontal="center" readingOrder="0" shrinkToFit="0" vertical="top" wrapText="1"/>
    </xf>
    <xf borderId="17" fillId="18" fontId="14" numFmtId="15" xfId="0" applyAlignment="1" applyBorder="1" applyFont="1" applyNumberFormat="1">
      <alignment horizontal="center" shrinkToFit="0" vertical="top" wrapText="1"/>
    </xf>
    <xf borderId="0" fillId="4" fontId="3" numFmtId="15" xfId="0" applyAlignment="1" applyFont="1" applyNumberFormat="1">
      <alignment horizontal="center" shrinkToFit="0" vertical="top" wrapText="1"/>
    </xf>
    <xf borderId="0" fillId="19" fontId="16" numFmtId="14" xfId="0" applyAlignment="1" applyFill="1" applyFont="1" applyNumberFormat="1">
      <alignment horizontal="left" vertical="top"/>
    </xf>
    <xf borderId="0" fillId="19" fontId="16" numFmtId="0" xfId="0" applyAlignment="1" applyFont="1">
      <alignment vertical="top"/>
    </xf>
    <xf borderId="17" fillId="19" fontId="3" numFmtId="0" xfId="0" applyAlignment="1" applyBorder="1" applyFont="1">
      <alignment shrinkToFit="0" vertical="top" wrapText="1"/>
    </xf>
    <xf borderId="17" fillId="0" fontId="3" numFmtId="0" xfId="0" applyAlignment="1" applyBorder="1" applyFont="1">
      <alignment horizontal="center" shrinkToFit="0" vertical="top" wrapText="1"/>
    </xf>
    <xf borderId="17" fillId="19" fontId="3" numFmtId="15" xfId="0" applyAlignment="1" applyBorder="1" applyFont="1" applyNumberFormat="1">
      <alignment horizontal="center" shrinkToFit="0" vertical="top" wrapText="1"/>
    </xf>
    <xf borderId="17" fillId="0" fontId="16" numFmtId="0" xfId="0" applyAlignment="1" applyBorder="1" applyFont="1">
      <alignment horizontal="center" vertical="top"/>
    </xf>
    <xf borderId="17" fillId="16" fontId="10" numFmtId="0" xfId="0" applyAlignment="1" applyBorder="1" applyFont="1">
      <alignment horizontal="center" shrinkToFit="0" vertical="top" wrapText="1"/>
    </xf>
    <xf borderId="26" fillId="17" fontId="14" numFmtId="0" xfId="0" applyAlignment="1" applyBorder="1" applyFont="1">
      <alignment horizontal="left" shrinkToFit="0" vertical="center" wrapText="1"/>
    </xf>
    <xf borderId="17" fillId="0" fontId="3" numFmtId="0" xfId="0" applyBorder="1" applyFont="1"/>
    <xf borderId="0" fillId="4" fontId="3" numFmtId="0" xfId="0" applyFont="1"/>
    <xf borderId="26" fillId="0" fontId="16" numFmtId="0" xfId="0" applyAlignment="1" applyBorder="1" applyFont="1">
      <alignment horizontal="left" vertical="center"/>
    </xf>
    <xf borderId="26" fillId="0" fontId="3" numFmtId="0" xfId="0" applyAlignment="1" applyBorder="1" applyFont="1">
      <alignment horizontal="left" vertical="center"/>
    </xf>
    <xf borderId="0" fillId="0" fontId="13" numFmtId="0" xfId="0" applyAlignment="1" applyFont="1">
      <alignment horizontal="center" shrinkToFit="0" vertical="top" wrapText="1"/>
    </xf>
    <xf borderId="0" fillId="0" fontId="13" numFmtId="0" xfId="0" applyAlignment="1" applyFont="1">
      <alignment horizontal="left" vertical="top"/>
    </xf>
    <xf borderId="17" fillId="0" fontId="14" numFmtId="0" xfId="0" applyAlignment="1" applyBorder="1" applyFont="1">
      <alignment horizontal="center" readingOrder="0" shrinkToFit="0" vertical="top" wrapText="1"/>
    </xf>
    <xf borderId="26" fillId="0" fontId="14" numFmtId="0" xfId="0" applyAlignment="1" applyBorder="1" applyFont="1">
      <alignment horizontal="center" shrinkToFit="0" vertical="center" wrapText="1"/>
    </xf>
    <xf borderId="17" fillId="10" fontId="14" numFmtId="14" xfId="0" applyAlignment="1" applyBorder="1" applyFont="1" applyNumberFormat="1">
      <alignment horizontal="left" shrinkToFit="0" vertical="top" wrapText="1"/>
    </xf>
    <xf borderId="17" fillId="10" fontId="14" numFmtId="0" xfId="0" applyAlignment="1" applyBorder="1" applyFont="1">
      <alignment horizontal="center" shrinkToFit="0" vertical="top" wrapText="1"/>
    </xf>
    <xf borderId="17" fillId="10" fontId="14" numFmtId="15" xfId="0" applyAlignment="1" applyBorder="1" applyFont="1" applyNumberFormat="1">
      <alignment horizontal="center" shrinkToFit="0" vertical="top" wrapText="1"/>
    </xf>
    <xf borderId="17" fillId="10" fontId="10" numFmtId="15" xfId="0" applyAlignment="1" applyBorder="1" applyFont="1" applyNumberFormat="1">
      <alignment horizontal="center" shrinkToFit="0" vertical="top" wrapText="1"/>
    </xf>
    <xf borderId="17" fillId="19" fontId="14" numFmtId="15" xfId="0" applyAlignment="1" applyBorder="1" applyFont="1" applyNumberFormat="1">
      <alignment horizontal="center" shrinkToFit="0" vertical="top" wrapText="1"/>
    </xf>
    <xf borderId="17" fillId="10" fontId="14" numFmtId="3" xfId="0" applyAlignment="1" applyBorder="1" applyFont="1" applyNumberFormat="1">
      <alignment horizontal="center" shrinkToFit="0" vertical="top" wrapText="1"/>
    </xf>
    <xf borderId="17" fillId="17" fontId="14" numFmtId="0" xfId="0" applyAlignment="1" applyBorder="1" applyFont="1">
      <alignment horizontal="center" readingOrder="0" shrinkToFit="0" vertical="top" wrapText="1"/>
    </xf>
    <xf borderId="0" fillId="0" fontId="17" numFmtId="0" xfId="0" applyAlignment="1" applyFont="1">
      <alignment horizontal="center"/>
    </xf>
    <xf borderId="17" fillId="20" fontId="5" numFmtId="0" xfId="0" applyAlignment="1" applyBorder="1" applyFill="1" applyFont="1">
      <alignment horizontal="center" shrinkToFit="0" vertical="center" wrapText="1"/>
    </xf>
    <xf borderId="18" fillId="21" fontId="18" numFmtId="0" xfId="0" applyAlignment="1" applyBorder="1" applyFill="1" applyFont="1">
      <alignment horizontal="left" shrinkToFit="0" vertical="center" wrapText="1"/>
    </xf>
    <xf borderId="0" fillId="0" fontId="13" numFmtId="0" xfId="0" applyAlignment="1" applyFont="1">
      <alignment vertical="center"/>
    </xf>
    <xf borderId="17" fillId="0" fontId="13" numFmtId="0" xfId="0" applyAlignment="1" applyBorder="1" applyFont="1">
      <alignment horizontal="center" shrinkToFit="0" vertical="center" wrapText="1"/>
    </xf>
    <xf borderId="17" fillId="0" fontId="13" numFmtId="0" xfId="0" applyAlignment="1" applyBorder="1" applyFont="1">
      <alignment horizontal="center" vertical="center"/>
    </xf>
    <xf borderId="17" fillId="0" fontId="3" numFmtId="0" xfId="0" applyAlignment="1" applyBorder="1" applyFont="1">
      <alignment horizontal="left" shrinkToFit="0" vertical="center" wrapText="1"/>
    </xf>
    <xf borderId="17" fillId="0" fontId="3" numFmtId="0" xfId="0" applyAlignment="1" applyBorder="1" applyFont="1">
      <alignment horizontal="center" shrinkToFit="0" vertical="center" wrapText="1"/>
    </xf>
    <xf borderId="17" fillId="0" fontId="3" numFmtId="20" xfId="0" applyAlignment="1" applyBorder="1" applyFont="1" applyNumberFormat="1">
      <alignment horizontal="center" shrinkToFit="0" vertical="center" wrapText="1"/>
    </xf>
    <xf borderId="17" fillId="0" fontId="13" numFmtId="15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left" shrinkToFit="0" vertical="center" wrapText="1"/>
    </xf>
    <xf borderId="17" fillId="21" fontId="13" numFmtId="0" xfId="0" applyAlignment="1" applyBorder="1" applyFont="1">
      <alignment horizontal="center" shrinkToFit="0" vertical="center" wrapText="1"/>
    </xf>
    <xf borderId="17" fillId="21" fontId="13" numFmtId="0" xfId="0" applyAlignment="1" applyBorder="1" applyFont="1">
      <alignment horizontal="center" vertical="center"/>
    </xf>
    <xf borderId="17" fillId="21" fontId="13" numFmtId="0" xfId="0" applyAlignment="1" applyBorder="1" applyFont="1">
      <alignment horizontal="left" shrinkToFit="0" vertical="center" wrapText="1"/>
    </xf>
    <xf borderId="17" fillId="21" fontId="3" numFmtId="0" xfId="0" applyAlignment="1" applyBorder="1" applyFont="1">
      <alignment horizontal="center" shrinkToFit="0" vertical="center" wrapText="1"/>
    </xf>
    <xf borderId="17" fillId="21" fontId="13" numFmtId="166" xfId="0" applyAlignment="1" applyBorder="1" applyFont="1" applyNumberFormat="1">
      <alignment horizontal="center" vertical="center"/>
    </xf>
    <xf borderId="17" fillId="21" fontId="3" numFmtId="0" xfId="0" applyAlignment="1" applyBorder="1" applyFont="1">
      <alignment horizontal="left" shrinkToFit="0" vertical="center" wrapText="1"/>
    </xf>
    <xf borderId="17" fillId="21" fontId="3" numFmtId="20" xfId="0" applyAlignment="1" applyBorder="1" applyFont="1" applyNumberFormat="1">
      <alignment horizontal="center" shrinkToFit="0" vertical="center" wrapText="1"/>
    </xf>
    <xf borderId="17" fillId="21" fontId="13" numFmtId="15" xfId="0" applyAlignment="1" applyBorder="1" applyFont="1" applyNumberFormat="1">
      <alignment horizontal="center" shrinkToFit="0" vertical="center" wrapText="1"/>
    </xf>
    <xf borderId="17" fillId="0" fontId="6" numFmtId="15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37" fillId="0" fontId="18" numFmtId="0" xfId="0" applyAlignment="1" applyBorder="1" applyFont="1">
      <alignment horizontal="center" vertical="center"/>
    </xf>
    <xf borderId="18" fillId="9" fontId="18" numFmtId="0" xfId="0" applyAlignment="1" applyBorder="1" applyFont="1">
      <alignment horizontal="left" shrinkToFit="0" vertical="center" wrapText="1"/>
    </xf>
    <xf borderId="26" fillId="0" fontId="13" numFmtId="0" xfId="0" applyAlignment="1" applyBorder="1" applyFont="1">
      <alignment horizontal="center" shrinkToFit="0" vertical="center" wrapText="1"/>
    </xf>
    <xf borderId="17" fillId="0" fontId="13" numFmtId="0" xfId="0" applyAlignment="1" applyBorder="1" applyFont="1">
      <alignment horizontal="left" vertical="center"/>
    </xf>
    <xf borderId="17" fillId="0" fontId="13" numFmtId="0" xfId="0" applyAlignment="1" applyBorder="1" applyFont="1">
      <alignment shrinkToFit="0" vertical="center" wrapText="1"/>
    </xf>
    <xf borderId="17" fillId="22" fontId="13" numFmtId="0" xfId="0" applyAlignment="1" applyBorder="1" applyFill="1" applyFont="1">
      <alignment horizontal="left" vertical="center"/>
    </xf>
    <xf borderId="17" fillId="22" fontId="13" numFmtId="0" xfId="0" applyAlignment="1" applyBorder="1" applyFont="1">
      <alignment horizontal="left" shrinkToFit="0" vertical="center" wrapText="1"/>
    </xf>
    <xf borderId="26" fillId="0" fontId="13" numFmtId="0" xfId="0" applyAlignment="1" applyBorder="1" applyFont="1">
      <alignment horizontal="center" vertical="center"/>
    </xf>
    <xf borderId="17" fillId="0" fontId="13" numFmtId="0" xfId="0" applyAlignment="1" applyBorder="1" applyFont="1">
      <alignment horizontal="left" shrinkToFit="0" vertical="center" wrapText="1"/>
    </xf>
    <xf borderId="17" fillId="0" fontId="13" numFmtId="0" xfId="0" applyAlignment="1" applyBorder="1" applyFont="1">
      <alignment vertical="center"/>
    </xf>
    <xf borderId="17" fillId="0" fontId="13" numFmtId="166" xfId="0" applyAlignment="1" applyBorder="1" applyFont="1" applyNumberFormat="1">
      <alignment vertical="center"/>
    </xf>
  </cellXfs>
  <cellStyles count="1">
    <cellStyle xfId="0" name="Normal" builtinId="0"/>
  </cellStyles>
  <dxfs count="1">
    <dxf>
      <font/>
      <fill>
        <patternFill patternType="solid">
          <fgColor rgb="FFFF6600"/>
          <bgColor rgb="FFFF660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0.xml"/><Relationship Id="rId42" Type="http://schemas.openxmlformats.org/officeDocument/2006/relationships/externalLink" Target="externalLinks/externalLink32.xml"/><Relationship Id="rId41" Type="http://schemas.openxmlformats.org/officeDocument/2006/relationships/externalLink" Target="externalLinks/externalLink31.xml"/><Relationship Id="rId44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33.xml"/><Relationship Id="rId46" Type="http://schemas.openxmlformats.org/officeDocument/2006/relationships/externalLink" Target="externalLinks/externalLink36.xml"/><Relationship Id="rId45" Type="http://schemas.openxmlformats.org/officeDocument/2006/relationships/externalLink" Target="externalLinks/externalLink3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externalLink" Target="externalLinks/externalLink38.xml"/><Relationship Id="rId47" Type="http://schemas.openxmlformats.org/officeDocument/2006/relationships/externalLink" Target="externalLinks/externalLink37.xml"/><Relationship Id="rId49" Type="http://schemas.openxmlformats.org/officeDocument/2006/relationships/externalLink" Target="externalLinks/externalLink39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0.xml"/><Relationship Id="rId33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22.xml"/><Relationship Id="rId35" Type="http://schemas.openxmlformats.org/officeDocument/2006/relationships/externalLink" Target="externalLinks/externalLink25.xml"/><Relationship Id="rId34" Type="http://schemas.openxmlformats.org/officeDocument/2006/relationships/externalLink" Target="externalLinks/externalLink24.xml"/><Relationship Id="rId37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26.xml"/><Relationship Id="rId39" Type="http://schemas.openxmlformats.org/officeDocument/2006/relationships/externalLink" Target="externalLinks/externalLink29.xml"/><Relationship Id="rId38" Type="http://schemas.openxmlformats.org/officeDocument/2006/relationships/externalLink" Target="externalLinks/externalLink28.xml"/><Relationship Id="rId20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2.xml"/><Relationship Id="rId21" Type="http://schemas.openxmlformats.org/officeDocument/2006/relationships/externalLink" Target="externalLinks/externalLink11.xml"/><Relationship Id="rId24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13.xml"/><Relationship Id="rId26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15.xml"/><Relationship Id="rId28" Type="http://schemas.openxmlformats.org/officeDocument/2006/relationships/externalLink" Target="externalLinks/externalLink18.xml"/><Relationship Id="rId27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19.xml"/><Relationship Id="rId51" Type="http://schemas.openxmlformats.org/officeDocument/2006/relationships/externalLink" Target="externalLinks/externalLink41.xml"/><Relationship Id="rId50" Type="http://schemas.openxmlformats.org/officeDocument/2006/relationships/externalLink" Target="externalLinks/externalLink40.xml"/><Relationship Id="rId53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42.xml"/><Relationship Id="rId11" Type="http://schemas.openxmlformats.org/officeDocument/2006/relationships/externalLink" Target="externalLinks/externalLink1.xml"/><Relationship Id="rId55" Type="http://schemas.openxmlformats.org/officeDocument/2006/relationships/externalLink" Target="externalLinks/externalLink45.xml"/><Relationship Id="rId10" Type="http://schemas.openxmlformats.org/officeDocument/2006/relationships/worksheet" Target="worksheets/sheet7.xml"/><Relationship Id="rId54" Type="http://schemas.openxmlformats.org/officeDocument/2006/relationships/externalLink" Target="externalLinks/externalLink44.xml"/><Relationship Id="rId13" Type="http://schemas.openxmlformats.org/officeDocument/2006/relationships/externalLink" Target="externalLinks/externalLink3.xml"/><Relationship Id="rId57" Type="http://customschemas.google.com/relationships/workbookmetadata" Target="metadata"/><Relationship Id="rId12" Type="http://schemas.openxmlformats.org/officeDocument/2006/relationships/externalLink" Target="externalLinks/externalLink2.xml"/><Relationship Id="rId56" Type="http://schemas.openxmlformats.org/officeDocument/2006/relationships/externalLink" Target="externalLinks/externalLink46.xml"/><Relationship Id="rId15" Type="http://schemas.openxmlformats.org/officeDocument/2006/relationships/externalLink" Target="externalLinks/externalLink5.xml"/><Relationship Id="rId14" Type="http://schemas.openxmlformats.org/officeDocument/2006/relationships/externalLink" Target="externalLinks/externalLink4.xml"/><Relationship Id="rId17" Type="http://schemas.openxmlformats.org/officeDocument/2006/relationships/externalLink" Target="externalLinks/externalLink7.xml"/><Relationship Id="rId16" Type="http://schemas.openxmlformats.org/officeDocument/2006/relationships/externalLink" Target="externalLinks/externalLink6.xml"/><Relationship Id="rId19" Type="http://schemas.openxmlformats.org/officeDocument/2006/relationships/externalLink" Target="externalLinks/externalLink9.xml"/><Relationship Id="rId18" Type="http://schemas.openxmlformats.org/officeDocument/2006/relationships/externalLink" Target="externalLinks/externalLink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Users\ruhina.madival\AppData\Local\Microsoft\Windows\Temporary%20Internet%20Files\Content.Outlook\KPXJ1CKI\BACKING\Spinning%20mill%20Budget-13%2004%2011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E%20Drive%20Data\ALPHA\TOWER%203\BUDGET\Approved\World%20crest-%20including%20pilling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E%20Drive%20Data\ALPHA\TOWER%203\civil%20comparasion\World%20crest-%20including%20pilling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4E9CFDEF\World%20one%20tower%20%20Budget%20%20including%20Armani%20cost%20-%2014.12.10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EB6AAF7\World%20one%20tower%20%20Budget%20%20including%20Armani%20cost%20-%2014.12.10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E%20Drive%20Data\ALPHA\TOWER%201\BUDGET\Approved\World%20one%20tower%20%20Budget%20%20including%20Armani%20cost%20-%2014.12.10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Documents%20and%20Settings\ruhina.madival\Application%20Data\Microsoft\Excel\Cost%20Management%20Presentation\World%20One%20Tower%20%20-%20Concept%20budget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ALPHA\P-drive%20folder\Budget%20For%20King%20Tower\King%20Tower%20Budget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drcserver1\DESIGN\Infra\Geotech\Crep\Soil-inv\O1097\DJB-0509\Spt-BH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Documents%20and%20Settings\korb862\Local%20Settings\Temporary%20Internet%20Files\Content.IE5\2WUI1BXA\Plot%20N15%20PSR_template%20-%20Dev%20And%20Delivery%20rev1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drcserver3\Design\WINNT\Profiles\vvk\Temporary%20Internet%20Files\OLK3\BOQ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pfs01\allodadata\CLM%20Working\D%20Departmental%20Documentation\D03%20Administration%20Officer\D0309%20CLM%20Employee%20Database\CLM-D0302-REG-20070109Employee%20Database-CURRENT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ODA\Project%20Sponsors\Private\SCOPE\Cost%20Plan\Global\Base_Scope_Data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Project%20Island\D%20-%20Financial\Dome%20Waterfront\Lend_Lease_Projects\Project%20Island\D%20-%20Financial\D8%20Commercial%20Appraisal\Financial%20Models\DM_CA%20Summary_13.03.2002_v.1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Programme%20Mng\UKS%20Report\Regents%20Place%20-%20Internal%20Monthly%20Report%20(New%20Format)%20-%20May%2009.xls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Stup-c09\D\JOBS\7078-MADURAVOYAL\ALAPAKKAM%20MAIN%20ROAD%20-%20APR05\ANNEX-2\ANN2-MADURAVOYAL%20DATA-APRIL-05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Documents%20and%20Settings\ruhina.madival\Local%20Settings\Temporary%20Internet%20Files\Content.Outlook\CGT5OH0X\Infra\Geotech\BBR\Ap-19&amp;20\spt-bh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15.%20Block%20Level%20Reporting\Block%20N03%20&amp;%20N04\Preliminaries%20book%20rev2%20N03%20N04%20WORKING%20COPY%20%20180408%20using%20ray%20gedge%20rev%20cost%20plan%20(2)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uklon90mf401\AthletesVillage$\Development\Finance\15.%20Block%20Level%20Reporting\Block%20N06\Commercial%20Appraisal%20Block%20N06%2012%2005%202008%20RG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LDA%20Model%20BP_Latest_161104%20-%20acc%20absorption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uklon90mf401\AthletesVillage$\Development\Finance\3.%20Management%20and%20Financial%20Reporting\Cashflow%20Forecast\May%202008\Copy%20of%20Cashflow%20May%202008b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F:\Users\piyush.agrawal\AppData\Local\Microsoft\Windows\Temporary%20Internet%20Files\Content.Outlook\32ESY4AV\cost%20management%20cell\Budgets\Final%20Budgets%20WIth%20GM%20-%20Cost%20Mgmt\Lodha%20Primero\Primero%20Budget_Approve26072010.xls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Documents%20and%20Settings\fchiew\My%20Documents\Model%20sensitivities\LDA%20Model%2027Nov02_new38%25%20s106%20hardcoded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Project%20Island\D%20-%20Financial%202\D01%20-%20MDL%20Group%20Reporting\D1.4%20-%20Business%20Plans\Business%20Plan%202007\Financial%20Model%20update\MDL%20Planning%20Model.050.003%2015Mar06.xls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F:\Users\piyush.agrawal\AppData\Local\Microsoft\Windows\Temporary%20Internet%20Files\Content.Outlook\32ESY4AV\planning\Documents%20and%20Settings\pradeep.singh\My%20Documents\Excel%20Training\Excel%20function%20list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pfs01\allodadata\CLM%20Working\D%20Departmental%20Documentation\D03%20Administration%20Officer\D0309%20CLM%20Employee%20Database\CLM-D0302-REG-20070406-Employee%20Database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pfs01\allodadata\CLM%20Working\D%20Departmental%20Documentation\D03%20Administration%20Officer\D0309%20CLM%20Employee%20Database\CLM-D0302-REG-20070202-Employee%20Database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F:\Users\piyush.agrawal\AppData\Local\Microsoft\Windows\Temporary%20Internet%20Files\Content.Outlook\32ESY4AV\planning\pradeep%20singh\Simtools\SIMTOOLS\Podium%20Simtool\Podium%20PD-2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K:\Corporate%20Finance\London\Clients\B\Business%20Modelling\Meridian%20Delta\Testing\Testing%20versions\Testing%20versions\MDL%20Planning%20Model.017.002.LDA%20REC.xls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pfs01\allodadata\Documents%20and%20Settings\matthew.perry\Local%20Settings\Temporary%20Internet%20Files\OLK14\CLM%20ACCRUAL%20July%202008%20-%20Final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Documents%20and%20Settings\donna.swai\Local%20Settings\Temporary%20Internet%20Files\OLKE5\N15%20Monthly%20Report%20amended%20after%20Review.rev2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uklon90mf401\AthletesVillage$\Development\Finance\6.%20Model%20and%20Assumptions\Model\LL%20Model\83%20Stratford%20City%20Base%20Case%20DRAFT%20080617%201735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https://webmail.emea.mylendlease.com/Documents%20and%20Settings/rgraham/Desktop/84%20Stratford%20City%20Base%20Case%20DRAFT%20080730%201050%20Current%20Base%20Case%20(Board)%20STATIC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Development\Finance\6.%20Model%20and%20Assumptions\Model\LL%20Model\67%20Stratford%20City%20Base%20Case%201%20080227%201652.xls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Project%20Sponsors\Private\SCOPE\Cost%20Plan\CoA\All_lookups_Cedar%20Conversion_070727.xls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Planning\C\WINDOWS\Desktop\JUNE%202003%20bills\2B_JUNE%202K3.xls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R:\Project%20Island\D%20-%20Financial\Dome%20Waterfront\LDA%20Model%2027Nov02_35_70.30_fulls106.xls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pfs01\allodadata\CLM%20Working\D%20Departmental%20Documentation\D05%20Design%20Contracts%20&amp;%20Controls\D0501%20Project%20Controls\A%20-%2001%20-%20REPORTS\A%20-%2014%20-%20PSRs\2008-02\Olympic%20Park%20Venues\CLM-D0501-REP-PSR-SPWUT-Feb08-v1.0.xls" TargetMode="External"/></Relationships>
</file>

<file path=xl/externalLinks/_rels/externalLink4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pfs01\allodadata\CLM%20Working\D%20Departmental%20Documentation\D05%20Design%20Contracts%20&amp;%20Controls\D0501%20Project%20Controls\A%20-%2001%20-%20REPORTS\A%20-%2014%20-%20PSRs\2008-03\Park%20Site%20Platform\CLM-D0501-REP-PSR-Stadium-Jan08-v0.3.xls" TargetMode="External"/></Relationships>
</file>

<file path=xl/externalLinks/_rels/externalLink4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pfs01\allodadata\CLM%20Working\D%20Departmental%20Documentation\D05%20Design%20Contracts%20&amp;%20Controls\D0502%20Commercial\Contract%20Administration\Accruals\October%2007\CLM-D502-REP-Accrual-Oct07%20draft.xls" TargetMode="External"/></Relationships>
</file>

<file path=xl/externalLinks/_rels/externalLink4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cpfs01\allodadata\CLM%20Working\D%20Departmental%20Documentation\D05%20Design%20Contracts%20&amp;%20Controls\D0502%20Commercial\Contract%20Administration\Accruals\2008\February%202008\Logistics%20Copy%20of%20CLM-D502-REP-Accrual-Dec07%20draft.xls" TargetMode="External"/></Relationships>
</file>

<file path=xl/externalLinks/_rels/externalLink4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Edrcserver1\design\user\Cement\KVPgroup\E-Kvp\KVP-Engrs\PPRM-Housing\Namakkal%20Housing\School\T1037%20Entire%20School.xls" TargetMode="External"/></Relationships>
</file>

<file path=xl/externalLinks/_rels/externalLink4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Estimating%20Cost%20Planning\Projects\Stratford\Cost%20Plan\Feasibility%20Cost%20Plans\Infrastructure\Stratford%20Preliminary%20Infrastructure%20&amp;%20S106%2017Sep07.xls" TargetMode="External"/></Relationships>
</file>

<file path=xl/externalLinks/_rels/externalLink4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24.122\common%20-%20construction%20management\Documents%20and%20Settings\poonam.panindre\Local%20Settings\Temporary%20Internet%20Files\OLK6F\Upload%20in%20SAP\upload_wo_Vishwakarma%20Fabrication%2004.06.09%20(GCP)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terial Cost "/>
      <sheetName val="rate analysis"/>
      <sheetName val="Quantity"/>
      <sheetName val="Assumptions"/>
      <sheetName val="Area statement"/>
      <sheetName val="Abstract"/>
      <sheetName val="Blockwork &amp; Plaster"/>
      <sheetName val="PCC"/>
      <sheetName val="Flooring &amp; Other"/>
      <sheetName val="Ceiling"/>
      <sheetName val="Door &amp; window sill "/>
      <sheetName val="Pile abstract"/>
      <sheetName val=" Budget"/>
      <sheetName val="Annex 1 Consultant"/>
      <sheetName val="Annexure 2 Civil Work "/>
      <sheetName val="Annexure 3 Finishing Work "/>
      <sheetName val="Annexure 4 Services "/>
      <sheetName val="Infra - Shore pilling"/>
      <sheetName val="Area"/>
      <sheetName val="Material List "/>
      <sheetName val="Labour Rate "/>
      <sheetName val="(M+L)"/>
      <sheetName val="Guidelines"/>
      <sheetName val="Consumption of Materia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parison"/>
      <sheetName val="Facade"/>
      <sheetName val="Sheet4"/>
      <sheetName val="Civil Labour"/>
      <sheetName val="Annexture 1 consultant (2)"/>
      <sheetName val="NON BUILT INFRA budget 1"/>
      <sheetName val="BUILT INFRA budget "/>
      <sheetName val="Parking Budget"/>
      <sheetName val="cover page"/>
      <sheetName val="AML comments - 26.11.10"/>
      <sheetName val="Covering Note"/>
      <sheetName val="Output"/>
      <sheetName val="Summary Tower Budget"/>
      <sheetName val="Annexture 1 consultant"/>
      <sheetName val="Back up for Consultants"/>
      <sheetName val="Annexure 2 Civil Work "/>
      <sheetName val="Annexure 3 Finishing Work "/>
      <sheetName val="Annexture 4 services"/>
      <sheetName val="assumptions"/>
      <sheetName val="Material List "/>
      <sheetName val="Labour Rate "/>
      <sheetName val="(M+L)"/>
      <sheetName val="Guidelines"/>
      <sheetName val="Consumption of Materials"/>
      <sheetName val="STP CALC"/>
      <sheetName val="Civil working (2)"/>
      <sheetName val="Civil working"/>
      <sheetName val="Finishes and serv working .."/>
      <sheetName val="Elect"/>
      <sheetName val="Automation"/>
      <sheetName val="Sheet2"/>
      <sheetName val=" Finishing Tier 1.."/>
      <sheetName val="Quantities"/>
      <sheetName val="Escalation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/>
      <sheetData sheetId="16"/>
      <sheetData sheetId="17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parison"/>
      <sheetName val="Facade"/>
      <sheetName val="Sheet4"/>
      <sheetName val="Civil Labour"/>
      <sheetName val="Annexture 1 consultant (2)"/>
      <sheetName val="NON BUILT INFRA budget 1"/>
      <sheetName val="BUILT INFRA budget "/>
      <sheetName val="Parking Budget"/>
      <sheetName val="cover page"/>
      <sheetName val="AML comments - 26.11.10"/>
      <sheetName val="Covering Note"/>
      <sheetName val="Output"/>
      <sheetName val="Summary Tower Budget"/>
      <sheetName val="Annexture 1 consultant"/>
      <sheetName val="Back up for Consultants"/>
      <sheetName val="Annexure 2 Civil Work "/>
      <sheetName val="Annexure 3 Finishing Work "/>
      <sheetName val="Annexture 4 services"/>
      <sheetName val="assumptions"/>
      <sheetName val="Material List "/>
      <sheetName val="Labour Rate "/>
      <sheetName val="(M+L)"/>
      <sheetName val="Guidelines"/>
      <sheetName val="Consumption of Materials"/>
      <sheetName val="STP CALC"/>
      <sheetName val="Civil working (2)"/>
      <sheetName val="Civil working"/>
      <sheetName val="Finishes and serv working .."/>
      <sheetName val="Elect"/>
      <sheetName val="Automation"/>
      <sheetName val="Sheet2"/>
      <sheetName val=" Finishing Tier 1.."/>
      <sheetName val="Quantities"/>
      <sheetName val="Escalation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parison"/>
      <sheetName val="assumptions"/>
      <sheetName val="Area Stats Revised"/>
      <sheetName val="Area Stats"/>
      <sheetName val="NON BUILT INFRA budget 1"/>
      <sheetName val="BUILT INFRA budget "/>
      <sheetName val="Parking Budget"/>
      <sheetName val="cover page"/>
      <sheetName val="King Tower Budget"/>
      <sheetName val="King Tower Budget (2)"/>
      <sheetName val="ASSUMPTION"/>
      <sheetName val="cost"/>
      <sheetName val="Budget -including Armani cost"/>
      <sheetName val="King Tower Budget "/>
      <sheetName val="Annexture 1 consultant"/>
      <sheetName val="Back up for Consultants"/>
      <sheetName val="Annexure 2 Civil Work "/>
      <sheetName val="Annexure 3 Finishing Work "/>
      <sheetName val="Annexture 4 services"/>
      <sheetName val="Material List "/>
      <sheetName val="Labour Rate "/>
      <sheetName val="(M+L)"/>
      <sheetName val="Guidelines"/>
      <sheetName val="Consumption of Materials"/>
      <sheetName val="working"/>
      <sheetName val="Summary"/>
      <sheetName val="RCC"/>
      <sheetName val="Masonry"/>
      <sheetName val=" Finishing Tier 1"/>
      <sheetName val=" Finishing Tier 2."/>
      <sheetName val=" Finishing Tier 3"/>
      <sheetName val="Elect"/>
      <sheetName val="Automation"/>
      <sheetName val="Quantities"/>
      <sheetName val="Escalation"/>
      <sheetName val="Contingencies"/>
      <sheetName val="Civil Labour"/>
      <sheetName val="Risk"/>
      <sheetName val="backup"/>
      <sheetName val="Sheet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/>
      <sheetData sheetId="20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parison"/>
      <sheetName val="assumptions"/>
      <sheetName val="Area Stats Revised"/>
      <sheetName val="Area Stats"/>
      <sheetName val="NON BUILT INFRA budget 1"/>
      <sheetName val="BUILT INFRA budget "/>
      <sheetName val="Parking Budget"/>
      <sheetName val="cover page"/>
      <sheetName val="King Tower Budget"/>
      <sheetName val="King Tower Budget (2)"/>
      <sheetName val="ASSUMPTION"/>
      <sheetName val="cost"/>
      <sheetName val="Budget -including Armani cost"/>
      <sheetName val="King Tower Budget "/>
      <sheetName val="Annexture 1 consultant"/>
      <sheetName val="Back up for Consultants"/>
      <sheetName val="Annexure 2 Civil Work "/>
      <sheetName val="Annexure 3 Finishing Work "/>
      <sheetName val="Annexture 4 services"/>
      <sheetName val="Material List "/>
      <sheetName val="Labour Rate "/>
      <sheetName val="(M+L)"/>
      <sheetName val="Guidelines"/>
      <sheetName val="Consumption of Materials"/>
      <sheetName val="working"/>
      <sheetName val="Summary"/>
      <sheetName val="RCC"/>
      <sheetName val="Masonry"/>
      <sheetName val=" Finishing Tier 1"/>
      <sheetName val=" Finishing Tier 2."/>
      <sheetName val=" Finishing Tier 3"/>
      <sheetName val="Elect"/>
      <sheetName val="Automation"/>
      <sheetName val="Quantities"/>
      <sheetName val="Escalation"/>
      <sheetName val="Contingencies"/>
      <sheetName val="Civil Labour"/>
      <sheetName val="Risk"/>
      <sheetName val="backup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parison"/>
      <sheetName val="assumptions"/>
      <sheetName val="Area Stats Revised"/>
      <sheetName val="Area Stats"/>
      <sheetName val="NON BUILT INFRA budget 1"/>
      <sheetName val="BUILT INFRA budget "/>
      <sheetName val="Parking Budget"/>
      <sheetName val="cover page"/>
      <sheetName val="King Tower Budget"/>
      <sheetName val="King Tower Budget (2)"/>
      <sheetName val="ASSUMPTION"/>
      <sheetName val="cost"/>
      <sheetName val="Budget -including Armani cost"/>
      <sheetName val="King Tower Budget "/>
      <sheetName val="Back up for Consultants"/>
      <sheetName val="Annexture 1 consultant"/>
      <sheetName val="Annexture 1 consultant (2)"/>
      <sheetName val="Annexure 2 Civil Work "/>
      <sheetName val="Annexure 3 Finishing Work "/>
      <sheetName val="Annexture 4 services"/>
      <sheetName val="Material List "/>
      <sheetName val="Labour Rate "/>
      <sheetName val="(M+L)"/>
      <sheetName val="Guidelines"/>
      <sheetName val="Consumption of Materials"/>
      <sheetName val="working"/>
      <sheetName val="Summary"/>
      <sheetName val="RCC"/>
      <sheetName val="Masonry"/>
      <sheetName val=" Finishing Tier 1"/>
      <sheetName val=" Finishing Tier 2."/>
      <sheetName val=" Finishing Tier 3"/>
      <sheetName val="Elect"/>
      <sheetName val="Automation"/>
      <sheetName val="Quantities"/>
      <sheetName val="Escalation"/>
      <sheetName val="Contingencies"/>
      <sheetName val="Civil Labour"/>
      <sheetName val="Risk"/>
      <sheetName val="backup"/>
      <sheetName val="Sheet1"/>
      <sheetName val="Sheet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parison"/>
      <sheetName val="assumptions"/>
      <sheetName val="Area Stats Revised"/>
      <sheetName val="Area Stats"/>
      <sheetName val="NON BUILT INFRA budget 1"/>
      <sheetName val="BUILT INFRA budget "/>
      <sheetName val="Parking Budget"/>
      <sheetName val="cover page"/>
      <sheetName val="King Tower Budget"/>
      <sheetName val="Annexture 1 consultant"/>
      <sheetName val="Back up for Consultants"/>
      <sheetName val="Annexure 2 Civil Work "/>
      <sheetName val="Annexure 3 Finishing Work "/>
      <sheetName val="Annexture 4 services"/>
      <sheetName val="Material List "/>
      <sheetName val="Labour Rate "/>
      <sheetName val="(M+L)"/>
      <sheetName val="Guidelines"/>
      <sheetName val="Consumption of Materials"/>
      <sheetName val="working"/>
      <sheetName val="Summary"/>
      <sheetName val="RCC"/>
      <sheetName val="Masonry"/>
      <sheetName val=" Finishing Tier 1"/>
      <sheetName val=" Finishing Tier 2."/>
      <sheetName val=" Finishing Tier 3"/>
      <sheetName val="Elect"/>
      <sheetName val="Automation"/>
      <sheetName val="Quantities"/>
      <sheetName val="Escalation"/>
      <sheetName val="Contingencies"/>
      <sheetName val="Civil Labour"/>
      <sheetName val="Ris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ssumption"/>
      <sheetName val="assumption (2)"/>
      <sheetName val="Area Stats"/>
      <sheetName val="NON BUILT INFRA budget 1"/>
      <sheetName val="BUILT INFRA budget "/>
      <sheetName val="Parking Budget"/>
      <sheetName val="cover page"/>
      <sheetName val="King Tower Budget"/>
      <sheetName val="Annexture 1 consultant"/>
      <sheetName val="Back up for Consultants"/>
      <sheetName val="Annexure 2 Civil Work "/>
      <sheetName val="Annexure 3 Finishing Work "/>
      <sheetName val="Annexture 4 services"/>
      <sheetName val="working"/>
      <sheetName val="Material List "/>
      <sheetName val="Labour Rate "/>
      <sheetName val="(M+L)"/>
      <sheetName val="Guidelines"/>
      <sheetName val="Consumption of Materials"/>
      <sheetName val="Summary"/>
      <sheetName val="RCC"/>
      <sheetName val="Masonry"/>
      <sheetName val=" Finishing Tier 1"/>
      <sheetName val=" Finishing Tier 2."/>
      <sheetName val=" Finishing Tier 3"/>
      <sheetName val="Elect"/>
      <sheetName val="Automation"/>
      <sheetName val="cover page (2)"/>
      <sheetName val="COVERSHEET"/>
      <sheetName val="assump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PPENDIX-I"/>
      <sheetName val="Corr-spt"/>
      <sheetName val="Obs-spt"/>
      <sheetName val="SPT vs PHI"/>
      <sheetName val="Indices"/>
      <sheetName val="Concrete"/>
      <sheetName val="reinft"/>
      <sheetName val="glass project concrete"/>
      <sheetName val="glass project reift"/>
      <sheetName val="glass project indices"/>
      <sheetName val="Lab"/>
      <sheetName val="office"/>
      <sheetName val="Material&amp;equipment"/>
      <sheetName val="Boq"/>
      <sheetName val="SBC-BH-1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BH-1"/>
      <sheetName val="SBC-BH-3"/>
      <sheetName val="BH-3"/>
      <sheetName val="Sheet4"/>
      <sheetName val="sept-plan"/>
      <sheetName val="Rate Analysis"/>
      <sheetName val="Summary 0506"/>
      <sheetName val="Summary 0607- 31.MAR"/>
      <sheetName val="#REF!"/>
      <sheetName val="Qty"/>
      <sheetName val="Sheet1"/>
      <sheetName val="BH 12-11-10-13"/>
      <sheetName val="BH 12-11-10-9"/>
      <sheetName val="BH 36-15-37"/>
      <sheetName val="BH 16-35-25-17"/>
      <sheetName val="BH 35-25-17"/>
      <sheetName val="Sheet1 (2)"/>
      <sheetName val="Sheet2"/>
      <sheetName val="SPT_vs_PHI"/>
      <sheetName val="glass_project_concrete"/>
      <sheetName val="glass_project_reift"/>
      <sheetName val="glass_project_indices"/>
      <sheetName val="FitOutConfCentre"/>
      <sheetName val="SPT_vs_PHI1"/>
      <sheetName val="glass_project_concrete1"/>
      <sheetName val="glass_project_reift1"/>
      <sheetName val="glass_project_indices1"/>
      <sheetName val="SBC-BH_19"/>
      <sheetName val="Rate_Analysis"/>
      <sheetName val="BH_12-11-10-13"/>
      <sheetName val="BH_12-11-10-9"/>
      <sheetName val="BH_36-15-37"/>
      <sheetName val="BH_16-35-25-17"/>
      <sheetName val="BH_35-25-17"/>
      <sheetName val="Sheet1_(2)"/>
      <sheetName val="Table10"/>
      <sheetName val="Table11"/>
      <sheetName val="Table12"/>
      <sheetName val="Table9"/>
      <sheetName val="Other"/>
      <sheetName val="Summary"/>
      <sheetName val="Spt-BH"/>
      <sheetName val="Civil Boq"/>
      <sheetName val="d-safe DELUXE"/>
      <sheetName val="Pile cap"/>
      <sheetName val="PRECAST lightconc-II"/>
      <sheetName val="Legal Risk Analysis"/>
      <sheetName val="Mix Design"/>
      <sheetName val="std-rates"/>
      <sheetName val="Form 6"/>
      <sheetName val="PointNo.5"/>
      <sheetName val="RCC,Ret. Wall"/>
      <sheetName val="Design"/>
      <sheetName val="Fill this out first..."/>
      <sheetName val="LABOUR"/>
      <sheetName val="REVISED4A PROG PERF-SITE 1"/>
      <sheetName val="BLK2"/>
      <sheetName val="BLK3"/>
      <sheetName val="E &amp; R"/>
      <sheetName val="radar"/>
      <sheetName val="UG"/>
      <sheetName val="Break up Sheet"/>
      <sheetName val="TBAL9697 -group wise  sdpl"/>
      <sheetName val="Abstract Sheet"/>
      <sheetName val="V.O.4 - PCC Qty"/>
      <sheetName val="BOQ (2)"/>
      <sheetName val="Input"/>
      <sheetName val="Activity"/>
      <sheetName val="Staff Acco."/>
      <sheetName val="Crew"/>
      <sheetName val="Piping"/>
      <sheetName val="Pipe Supports"/>
      <sheetName val="BOQ_Direct_selling cost"/>
      <sheetName val="M-Book for Conc"/>
      <sheetName val="M-Book for FW"/>
      <sheetName val="BS1"/>
      <sheetName val="WWR"/>
      <sheetName val="CABLE DATA"/>
      <sheetName val="Stock-II"/>
      <sheetName val="R20_R30_work"/>
      <sheetName val="#REF"/>
      <sheetName val="GBW"/>
      <sheetName val="8"/>
      <sheetName val="Load Details-220kV"/>
      <sheetName val="SANJAY PAL"/>
      <sheetName val="P A SELVAM"/>
      <sheetName val="ANSARI "/>
      <sheetName val="abdesh pal"/>
      <sheetName val="sujay bagchi"/>
      <sheetName val="S.K.SINHA BASU"/>
      <sheetName val="NEDUNCHEZHIYAN"/>
      <sheetName val="RAJARAM"/>
      <sheetName val="KRISHNA PRASAD"/>
      <sheetName val="BARATH &amp; CO"/>
      <sheetName val="L B YADAV"/>
      <sheetName val="DEEPAK KUMAR"/>
      <sheetName val="MUKLAL YADAV"/>
      <sheetName val="MADHU SUDHAN"/>
      <sheetName val="SAUD ALAM "/>
      <sheetName val="RAMESH BABU"/>
      <sheetName val="SUKHENDUPAL"/>
      <sheetName val="SAILEN SARKAR"/>
      <sheetName val="elongovan"/>
      <sheetName val="SANJAY JENA1"/>
      <sheetName val="upendra saw "/>
      <sheetName val="ALLOK KUMAR "/>
      <sheetName val="analysis"/>
      <sheetName val="except wiring"/>
      <sheetName val="Flight-1"/>
      <sheetName val="Publicbuilding"/>
      <sheetName val="FT-05-02IsoBOM"/>
      <sheetName val="final abstract"/>
      <sheetName val="[Spt-BH.xls][Spt-BH.xls]B_____2"/>
      <sheetName val=""/>
      <sheetName val="Rev S1 Abstract"/>
      <sheetName val="Quantity Abstract"/>
      <sheetName val="Abstract"/>
      <sheetName val="A-General"/>
      <sheetName val="beam-reinft-IIInd floor"/>
      <sheetName val="Parapet"/>
      <sheetName val="Sump"/>
      <sheetName val="COLUMN"/>
      <sheetName val="Footings"/>
      <sheetName val="VCH-SLC"/>
      <sheetName val="Supplier"/>
      <sheetName val="sheet6"/>
      <sheetName val="RA-markate"/>
      <sheetName val="[Spt-BH.xls][Spt-BH.xls]B_____3"/>
      <sheetName val="INPUT SHEET"/>
      <sheetName val="RES-PLANNING"/>
      <sheetName val="B@__x005f_x0000__x005f_x0004_@_x005f_x0000__x0000"/>
      <sheetName val="Project Budget Worksheet"/>
      <sheetName val="BOQ -II ph 2"/>
      <sheetName val="Summary_0506"/>
      <sheetName val="Summary_0607-_31_MAR"/>
      <sheetName val="Form_6"/>
      <sheetName val="B@_"/>
      <sheetName val="cubes_M20"/>
      <sheetName val="B@___x0004_@_____$__"/>
      <sheetName val="RA"/>
      <sheetName val="11-hsd"/>
      <sheetName val="13-septic"/>
      <sheetName val="7-ug"/>
      <sheetName val="2-utility"/>
      <sheetName val="18-misc"/>
      <sheetName val="5-pipe"/>
      <sheetName val="class &amp; category"/>
      <sheetName val="switch"/>
      <sheetName val="Fee Rate Summary"/>
      <sheetName val="STAFFSCHED "/>
      <sheetName val="SUMM"/>
      <sheetName val="DADAN-1"/>
      <sheetName val="Macro1"/>
      <sheetName val="dummy"/>
      <sheetName val="d-safe specs"/>
      <sheetName val="Rein-Final (Ph 1+Ph2)"/>
      <sheetName val="Sheet3"/>
      <sheetName val="1"/>
      <sheetName val="3"/>
      <sheetName val="Cost_any"/>
      <sheetName val="Quote Sheet"/>
      <sheetName val="RA RCC F"/>
      <sheetName val="Process"/>
      <sheetName val="pt_cw"/>
      <sheetName val="Metso - Forth &amp; Slurry 11.02.10"/>
      <sheetName val="India F&amp;S Template"/>
      <sheetName val="220 11  BS "/>
      <sheetName val="Lead"/>
      <sheetName val="Site wise NADs"/>
      <sheetName val="Formulas"/>
      <sheetName val="NPV"/>
      <sheetName val="x-items"/>
      <sheetName val="Stress Calculation"/>
      <sheetName val="B@[_x005f_x0000__x005f_x0004_@_x005f_x0000__x0000"/>
      <sheetName val="p&amp;m"/>
      <sheetName val="FUNDFLOW"/>
      <sheetName val="AOR"/>
      <sheetName val="Cal"/>
      <sheetName val="Data"/>
      <sheetName val="Voucher"/>
      <sheetName val="Materials Cost(PCC)"/>
      <sheetName val="col-reinft1"/>
      <sheetName val="SSR &amp; NSSR Market final"/>
      <sheetName val="[Spt-BH.xls][Spt-BH.xls]B_____4"/>
      <sheetName val="HPL"/>
      <sheetName val="B@___x005f_x0004_@_____$__"/>
      <sheetName val="B@__x005f_x005f_x005f_x0000__x005f_x005f_x005f_x0004_@_"/>
      <sheetName val="SPT_vs_PHI2"/>
      <sheetName val="glass_project_concrete2"/>
      <sheetName val="glass_project_reift2"/>
      <sheetName val="glass_project_indices2"/>
      <sheetName val="SBC-BH_191"/>
      <sheetName val="Rate_Analysis1"/>
      <sheetName val="BH_12-11-10-131"/>
      <sheetName val="BH_12-11-10-91"/>
      <sheetName val="BH_36-15-371"/>
      <sheetName val="BH_16-35-25-171"/>
      <sheetName val="BH_35-25-171"/>
      <sheetName val="Sheet1_(2)1"/>
      <sheetName val="Summary_05061"/>
      <sheetName val="Summary_0607-_31_MAR1"/>
      <sheetName val="Civil_Boq"/>
      <sheetName val="Pile_cap"/>
      <sheetName val="PRECAST_lightconc-II"/>
      <sheetName val="d-safe_DELUXE"/>
      <sheetName val="Mix_Design"/>
      <sheetName val="RCC,Ret__Wall"/>
      <sheetName val="Form_61"/>
      <sheetName val="PointNo_5"/>
      <sheetName val="Legal_Risk_Analysis"/>
      <sheetName val="E_&amp;_R"/>
      <sheetName val="Break_up_Sheet"/>
      <sheetName val="TBAL9697_-group_wise__sdpl"/>
      <sheetName val="Abstract_Sheet"/>
      <sheetName val="V_O_4_-_PCC_Qty"/>
      <sheetName val="Fill_this_out_first___"/>
      <sheetName val="REVISED4A_PROG_PERF-SITE_1"/>
      <sheetName val="BOQ_Direct_selling_cost"/>
      <sheetName val="Load_Details-220kV"/>
      <sheetName val="beam-reinft-IIInd_floor"/>
      <sheetName val="BOQ_(2)"/>
      <sheetName val="CABLE_DATA"/>
      <sheetName val="final_abstract"/>
      <sheetName val="Rev_S1_Abstract"/>
      <sheetName val="Quantity_Abstract"/>
      <sheetName val="[Spt-BH.xls][Spt-BH.xls]_Spt__2"/>
      <sheetName val="Staff_Acco_"/>
      <sheetName val="Pipe_Supports"/>
      <sheetName val="M-Book_for_Conc"/>
      <sheetName val="M-Book_for_FW"/>
      <sheetName val="[Spt-BH.xls][Spt-BH.xls]B_____5"/>
      <sheetName val="INPUT_SHEET"/>
      <sheetName val="SANJAY_PAL"/>
      <sheetName val="P_A_SELVAM"/>
      <sheetName val="ANSARI_"/>
      <sheetName val="abdesh_pal"/>
      <sheetName val="sujay_bagchi"/>
      <sheetName val="S_K_SINHA_BASU"/>
      <sheetName val="KRISHNA_PRASAD"/>
      <sheetName val="BARATH_&amp;_CO"/>
      <sheetName val="L_B_YADAV"/>
      <sheetName val="DEEPAK_KUMAR"/>
      <sheetName val="MUKLAL_YADAV"/>
      <sheetName val="MADHU_SUDHAN"/>
      <sheetName val="SAUD_ALAM_"/>
      <sheetName val="RAMESH_BABU"/>
      <sheetName val="SAILEN_SARKAR"/>
      <sheetName val="SANJAY_JENA1"/>
      <sheetName val="upendra_saw_"/>
      <sheetName val="ALLOK_KUMAR_"/>
      <sheetName val="except_wiring"/>
      <sheetName val="B@__@_____$__"/>
      <sheetName val="Project_Budget_Worksheet"/>
      <sheetName val="BOQ_-II_ph_2"/>
      <sheetName val="Build-up"/>
      <sheetName val="maingirder"/>
      <sheetName val="basic-data"/>
      <sheetName val="Coefficients"/>
      <sheetName val="IS3370"/>
      <sheetName val="IS456"/>
      <sheetName val="Headings"/>
      <sheetName val="2gii"/>
      <sheetName val="Title"/>
      <sheetName val="Costing"/>
      <sheetName val="T&amp;M"/>
      <sheetName val="SOR"/>
      <sheetName val="PriceSummary"/>
      <sheetName val="precast RC element"/>
      <sheetName val="attach(2)"/>
      <sheetName val="合成単価作成表-BLDG"/>
      <sheetName val="B@_@__$"/>
      <sheetName val="B@___x005f_x005f_x005f_x0004_@_____$__"/>
      <sheetName val="B@__x005f_x005f_x005f_x005f_x005f_x005f_x005f_x0000__x0"/>
      <sheetName val="재1"/>
      <sheetName val="SubmitCal"/>
      <sheetName val="Qty-Opt1"/>
      <sheetName val="Abstract for Variation"/>
      <sheetName val="LBD VARIATION"/>
      <sheetName val="PRRM Dashboard"/>
      <sheetName val="Mappings"/>
      <sheetName val="Report"/>
      <sheetName val="MGS"/>
      <sheetName val="FOOTING"/>
      <sheetName val="COLUMNS"/>
      <sheetName val="plinth Beam + Stirrups "/>
      <sheetName val="GF COLUMNS"/>
      <sheetName val="G.F ROOF BEAM "/>
      <sheetName val="GF SLAB STEEL"/>
      <sheetName val="GF Lintel"/>
      <sheetName val="GF Stair"/>
      <sheetName val="FF COLUMNS"/>
      <sheetName val="F.F. Steel FINAL (2)"/>
      <sheetName val="FF Lintel"/>
      <sheetName val="FF Stair"/>
      <sheetName val="S.F. Steel FINAL "/>
      <sheetName val="SF Lintel"/>
      <sheetName val="Assmpns"/>
      <sheetName val="Metso_-_Forth_&amp;_Slurry_11_02_10"/>
      <sheetName val="Debits as on 12.04.08"/>
      <sheetName val="2 BHK"/>
      <sheetName val="Material List "/>
      <sheetName val="BALANCE-IOTL 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evelopment"/>
      <sheetName val="Delivery"/>
      <sheetName val="Commercial"/>
      <sheetName val="Risks"/>
      <sheetName val="Design Detail"/>
      <sheetName val="Example Alt Design Dashboard"/>
      <sheetName val="Attendees.Actions.Decisions"/>
      <sheetName val="Appendicies"/>
      <sheetName val="Drop-Down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summary"/>
      <sheetName val="Pier -AC"/>
      <sheetName val="Cargo-AC"/>
      <sheetName val="renovation "/>
      <sheetName val="new piloty"/>
      <sheetName val="Pier -VENT"/>
      <sheetName val="BMS -pier"/>
      <sheetName val="Cargo -Vent"/>
      <sheetName val="BMS -cargo"/>
      <sheetName val="IDCCALHYD-GOO"/>
      <sheetName val="concrete"/>
      <sheetName val="precast RC element"/>
      <sheetName val=" working Sheet"/>
      <sheetName val="Package 2"/>
      <sheetName val="DSLP"/>
      <sheetName val="FT-05-02IsoBOM"/>
      <sheetName val="CONC"/>
      <sheetName val="EARTH"/>
      <sheetName val="GBW"/>
      <sheetName val="WSRSS"/>
      <sheetName val=" Steel Work"/>
      <sheetName val="ROADS"/>
      <sheetName val="TOTOL OF SECTION"/>
      <sheetName val="Fee Rate Summary"/>
      <sheetName val="PRECAST lightconc-II"/>
      <sheetName val="INDEX"/>
      <sheetName val="AREAS"/>
      <sheetName val="SITE OVERHEADS"/>
      <sheetName val="WORK TABLE"/>
      <sheetName val="3. Elemental Summary"/>
      <sheetName val="9. Package split - Cost "/>
      <sheetName val="12a. CFTable"/>
      <sheetName val="10. &amp; 11. Rate Code &amp; BQ"/>
      <sheetName val="dlvoid"/>
      <sheetName val="Data"/>
      <sheetName val="Lead"/>
      <sheetName val="Fill this out first..."/>
      <sheetName val="Design"/>
      <sheetName val="BOQ"/>
      <sheetName val="환율"/>
      <sheetName val="girder"/>
      <sheetName val="TBAL9697 -group wise  sdpl"/>
      <sheetName val="Cost summary"/>
      <sheetName val="Reference Information"/>
      <sheetName val="Employee List"/>
      <sheetName val="Sales Office"/>
      <sheetName val="PCS DATA"/>
      <sheetName val="Names&amp;Cases"/>
      <sheetName val="labour coeff"/>
      <sheetName val="p&amp;m"/>
      <sheetName val="Fin Sum"/>
      <sheetName val="INTRO"/>
      <sheetName val="Codes"/>
      <sheetName val="DP"/>
      <sheetName val="Input"/>
      <sheetName val="Phasing"/>
      <sheetName val="Site Dev BOQ"/>
      <sheetName val="Sheet2"/>
      <sheetName val="BOQ -Lab"/>
      <sheetName val="Sheet3"/>
      <sheetName val="VCH-SLC"/>
      <sheetName val="Supplier"/>
      <sheetName val="Build-up"/>
      <sheetName val="Analysis"/>
      <sheetName val="Rate analysis"/>
      <sheetName val="Background"/>
      <sheetName val="RA-markate"/>
      <sheetName val="Base data Security Procedures"/>
      <sheetName val="SCurv (3)"/>
      <sheetName val="INDIGINEOUS ITEMS "/>
      <sheetName val="calcul"/>
      <sheetName val="07"/>
      <sheetName val="Civil Boq"/>
      <sheetName val="Legend"/>
      <sheetName val="Cost of O &amp; O"/>
      <sheetName val="Sqn_Abs"/>
      <sheetName val="m"/>
      <sheetName val="Costing"/>
      <sheetName val="BOQ "/>
      <sheetName val="Flooring"/>
      <sheetName val="ELEC_BOQ"/>
      <sheetName val="PHE"/>
      <sheetName val="#REF"/>
      <sheetName val="Headings"/>
      <sheetName val="IO LIST"/>
      <sheetName val="Conc-Site"/>
      <sheetName val="Shut"/>
      <sheetName val="T Crane"/>
      <sheetName val="OH"/>
      <sheetName val="TS"/>
      <sheetName val="SDF I"/>
      <sheetName val="FORM7"/>
      <sheetName val="Labour productivity"/>
      <sheetName val="Tender Summary"/>
      <sheetName val="BOQ (2)"/>
      <sheetName val="final abstract"/>
      <sheetName val="Data Input"/>
      <sheetName val="SGS ACQ"/>
      <sheetName val="BOQ_Direct_selling cost"/>
      <sheetName val="_Steel_Work"/>
      <sheetName val="TOTOL_OF_SECTION"/>
      <sheetName val="Fee_Rate_Summary"/>
      <sheetName val="PRECAST_lightconc-II"/>
      <sheetName val="SITE_OVERHEADS"/>
      <sheetName val="Fill_this_out_first___"/>
      <sheetName val="Meas.-Hotel Part"/>
      <sheetName val="factors"/>
      <sheetName val="Detail"/>
      <sheetName val="PARAMETRES"/>
      <sheetName val="Model"/>
      <sheetName val="CONSTRUCTION COMPONENT"/>
      <sheetName val="PARASITIC"/>
      <sheetName val="status"/>
      <sheetName val="Material "/>
      <sheetName val="Labour &amp; Plant"/>
      <sheetName val="RCC Rates"/>
      <sheetName val="strain"/>
      <sheetName val="A.O.R."/>
      <sheetName val="DetEst"/>
      <sheetName val="labour"/>
      <sheetName val="list"/>
      <sheetName val="currency"/>
      <sheetName val="Switch costs lookup"/>
      <sheetName val="Eqpmnt Plng"/>
      <sheetName val="SA Input"/>
      <sheetName val="NT-Expan 50mm UBF"/>
      <sheetName val="ANNX - I ( a )"/>
      <sheetName val="Preside"/>
      <sheetName val="Invoice"/>
      <sheetName val="Load Details(B2)"/>
      <sheetName val="CABLERET"/>
      <sheetName val="Assumption Inputs"/>
      <sheetName val="Statutory Codes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R List"/>
      <sheetName val="Lists"/>
      <sheetName val="STARS090107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ECAST lightconc-II"/>
      <sheetName val="PRECAST-conc-II"/>
      <sheetName val="Miscellaneous-civil"/>
      <sheetName val="basic"/>
      <sheetName val="GN-ST-10"/>
      <sheetName val="CF-det"/>
      <sheetName val="PRECAST lightconc_II"/>
      <sheetName val="Cleaning &amp; Grubbing"/>
      <sheetName val="Friends"/>
      <sheetName val="College Details"/>
      <sheetName val="Personal "/>
      <sheetName val="Office"/>
      <sheetName val="GN_ST_10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Expenditure plan"/>
      <sheetName val="ORDER BOOKING"/>
      <sheetName val="八幡"/>
      <sheetName val="Sheet3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Costing Upto Mar'11 (2)"/>
      <sheetName val="Tender Summary"/>
      <sheetName val="SILICATE"/>
      <sheetName val="SITE OVERHEADS"/>
      <sheetName val="labour coeff"/>
      <sheetName val="VCH-SLC"/>
      <sheetName val="Supplier"/>
      <sheetName val="p&amp;m"/>
      <sheetName val="BOQ (2)"/>
      <sheetName val="300x500"/>
      <sheetName val="Site Dev BOQ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#REF!"/>
      <sheetName val="zone-8"/>
      <sheetName val="MHNO_LEV"/>
      <sheetName val="concrete"/>
      <sheetName val="beam-reinft-IIInd floor"/>
      <sheetName val="M-Book for Conc"/>
      <sheetName val="M-Book for FW"/>
      <sheetName val="A"/>
      <sheetName val="upa"/>
      <sheetName val="Design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List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curve calc (2)"/>
      <sheetName val="Meas.-Hotel Part"/>
      <sheetName val="BOQ_Direct_selling cost"/>
      <sheetName val="factors"/>
      <sheetName val="Headings"/>
      <sheetName val="master"/>
      <sheetName val="dBase"/>
      <sheetName val="Contract Night Staff"/>
      <sheetName val="Contract Day Staff"/>
      <sheetName val="Day Shift"/>
      <sheetName val="Night Shift"/>
      <sheetName val="Direct cost shed A-2 "/>
      <sheetName val="final abstract"/>
      <sheetName val="Sheet2"/>
      <sheetName val="Fee Rate Summary"/>
      <sheetName val="Civil Boq"/>
      <sheetName val="Meas__Hotel Part"/>
      <sheetName val="22.12.2011"/>
      <sheetName val=" 09.07.10 M顅ᎆ뤀ᨇ԰_x0000_缀_x0000_"/>
      <sheetName val="Build-up"/>
      <sheetName val="2gii"/>
      <sheetName val="Detail"/>
      <sheetName val="Data"/>
      <sheetName val="Lead"/>
      <sheetName val="Ave.wtd.rates"/>
      <sheetName val="Material "/>
      <sheetName val="Labour &amp; Plant"/>
      <sheetName val="Cashflow projection"/>
      <sheetName val="Item- Compact"/>
      <sheetName val="beam-reinft"/>
      <sheetName val="PA- Consutant "/>
      <sheetName val="St.co.91.5lvl"/>
      <sheetName val="Sales &amp; Prod"/>
      <sheetName val="INPUT SHEET"/>
      <sheetName val="HVAC"/>
      <sheetName val="Staff Acco."/>
      <sheetName val="IO List"/>
      <sheetName val="08.07.10헾】_x0005__x0000__x0000__x0000__x0000_ꎋ"/>
      <sheetName val="Fill this out first..."/>
      <sheetName val="Assumptions"/>
      <sheetName val="BS8007"/>
      <sheetName val="3cd Annexure"/>
      <sheetName val="공장별판관비배부"/>
      <sheetName val="DataInput"/>
      <sheetName val="DataInput-1"/>
      <sheetName val="DI Rate Analysis"/>
      <sheetName val="Economic RisingMain  Ph-I"/>
      <sheetName val="inWords"/>
      <sheetName val="Civil Works"/>
      <sheetName val="temp"/>
      <sheetName val="GBW"/>
      <sheetName val="HEAD"/>
      <sheetName val="TBAL9697 _group wise  sdpl"/>
      <sheetName val="Intake"/>
      <sheetName val="cash in flow Summary JV "/>
      <sheetName val="water prop."/>
      <sheetName val="GR.slab-reinft"/>
      <sheetName val="Cost Index"/>
      <sheetName val=" 09.07.10 M顅ᎆ뤀ᨇ԰?缀?"/>
      <sheetName val="Prelims Break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Labour productivity"/>
      <sheetName val="B3-B4-B5-B6"/>
      <sheetName val="AutoOpen Stub Data"/>
      <sheetName val=" 09.07.10 M顅ᎆ뤀ᨇ԰"/>
      <sheetName val=" 09.07.10 M顅ᎆ뤀ᨇ԰_缀_"/>
      <sheetName val="SP Break Up"/>
      <sheetName val="MN T.B."/>
      <sheetName val="08.07.10헾】_x0005_????ꎋ"/>
      <sheetName val="col-reinft1"/>
      <sheetName val="F20 Risk Analysis"/>
      <sheetName val="Change Order Log"/>
      <sheetName val="lookups"/>
      <sheetName val="ref"/>
      <sheetName val="Bin"/>
      <sheetName val="2000 MOR"/>
      <sheetName val="gen"/>
      <sheetName val="section"/>
      <sheetName val="Voucher"/>
      <sheetName val="Costing"/>
      <sheetName val="Project Details.."/>
      <sheetName val="Rate analysis- BOQ 1 "/>
      <sheetName val="box-12"/>
      <sheetName val="PRECAST_lightconc-II2"/>
      <sheetName val="PRECAST_lightconc_II2"/>
      <sheetName val="Cleaning_&amp;_Grubbing2"/>
      <sheetName val="College_Details2"/>
      <sheetName val="Personal_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SPT_vs_PHI2"/>
      <sheetName val="TBAL9697_-group_wise__sdpl2"/>
      <sheetName val="TAX_BILLS"/>
      <sheetName val="CASH_BILLS"/>
      <sheetName val="LABOUR_BILLS"/>
      <sheetName val="puch_order"/>
      <sheetName val="Sheet1_(2)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OVERHEADS"/>
      <sheetName val="labour_coeff"/>
      <sheetName val="Site_Dev_BOQ"/>
      <sheetName val="Expenditure_plan"/>
      <sheetName val="ORDER_BOOKING"/>
      <sheetName val="Costing_Upto_Mar'11_(2)"/>
      <sheetName val="Tender_Summary"/>
      <sheetName val="beam-reinft-IIInd_floor"/>
      <sheetName val="Prelims_Breakup"/>
      <sheetName val="Boq_Block_A"/>
      <sheetName val="M-Book_for_Conc"/>
      <sheetName val="M-Book_for_FW"/>
      <sheetName val=" _x000a_¢_x0002_&amp;_x0000__x0000__x0000_ú5#_x0000__x0000__x0000__x0000__x0000__x0000__x0000_"/>
      <sheetName val=""/>
      <sheetName val="AOR"/>
      <sheetName val="Driveway Beams"/>
      <sheetName val="Analy_7-10"/>
      <sheetName val="INDIGINEOUS ITEMS "/>
      <sheetName val="Meas_-Hotel_Part"/>
      <sheetName val="22_12_2011"/>
      <sheetName val="BOQ_(2)"/>
      <sheetName val="_24_07_10_RS_&amp;_SECURITY"/>
      <sheetName val="24_07_10_CIVIL_WET"/>
      <sheetName val="_24_07_10_CIVIL"/>
      <sheetName val="_24_07_10_MECH-FAB"/>
      <sheetName val="_24_07_10_MECH-TANK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Labour"/>
      <sheetName val="Admin"/>
      <sheetName val="Structure Bills Qty"/>
      <sheetName val="dlvoid"/>
      <sheetName val="PRELIM5"/>
      <sheetName val="1.Civil-RA"/>
      <sheetName val="estm_mech"/>
      <sheetName val="COST"/>
      <sheetName val="_22_07_10_MECH-FAB"/>
      <sheetName val="sheeet7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Rate Analysis"/>
      <sheetName val="_20_07_10_N_SHIFT_MECH-TANK"/>
      <sheetName val="_20_07_10_RS_&amp;_SECURITY"/>
      <sheetName val="20_07_10_CIVIL_WET"/>
      <sheetName val="_20_07_10_CIVIL"/>
      <sheetName val="_20_07_10_MECH-FAB"/>
      <sheetName val="Background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Cat A Change Control"/>
      <sheetName val="run"/>
      <sheetName val=" _x000a_¢_x0002_&amp;???ú5#???????"/>
      <sheetName val="T-P1, FINISHES WORKING "/>
      <sheetName val="Assumption &amp; Exclusion"/>
      <sheetName val="querries"/>
      <sheetName val="External Doors"/>
      <sheetName val="T&amp;M"/>
      <sheetName val="wordsdata"/>
      <sheetName val="SUMMARY(E)"/>
      <sheetName val="RA-markate"/>
      <sheetName val="x-items"/>
      <sheetName val="DI_Rate_Analysis"/>
      <sheetName val="Economic_RisingMain__Ph-I"/>
      <sheetName val="Phase 1"/>
      <sheetName val="Pacakges split"/>
      <sheetName val="DEINKING(ANNEX 1)"/>
      <sheetName val="Assumption Inputs"/>
      <sheetName val="L+M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Makro1"/>
      <sheetName val="COLUMN"/>
      <sheetName val="Eqpmnt Plng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Code"/>
      <sheetName val="Summary WG"/>
      <sheetName val="Cover"/>
      <sheetName val="Data Sheet"/>
      <sheetName val="Wire"/>
      <sheetName val="Debits as on 12.04.08"/>
      <sheetName val="analysis"/>
      <sheetName val="pol-60"/>
      <sheetName val="Cal"/>
      <sheetName val="STAFFSCHED "/>
      <sheetName val="InputPO_Del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Theo Cons-June'10"/>
      <sheetName val="CABLERET"/>
      <sheetName val=" bus bay"/>
      <sheetName val="doq-10"/>
      <sheetName val="doq-I"/>
      <sheetName val="doq 4"/>
      <sheetName val="doq 2"/>
      <sheetName val="Grade Slab -1"/>
      <sheetName val="Grade Slab -2"/>
      <sheetName val="Grade slab-3"/>
      <sheetName val="Grade slab -4"/>
      <sheetName val="Grade slab -5"/>
      <sheetName val="Grade slab -6"/>
      <sheetName val="India F&amp;S Template"/>
      <sheetName val="MASTER_RATE ANALYSIS"/>
      <sheetName val="Inputs"/>
      <sheetName val="Variables"/>
      <sheetName val="Factor Sheet"/>
      <sheetName val="detail'02"/>
      <sheetName val="환율"/>
      <sheetName val="DP"/>
      <sheetName val="Income Statement"/>
      <sheetName val="14.07.10 CIVIL W [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BOQ_Direct_selling_cost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Index"/>
      <sheetName val="Invoice Tracker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scurve_calc_(2)"/>
      <sheetName val="Contract_Night_Staff"/>
      <sheetName val="Contract_Day_Staff"/>
      <sheetName val="Day_Shift"/>
      <sheetName val="Night_Shift"/>
      <sheetName val="Direct_cost_shed_A-2_"/>
      <sheetName val="Fee_Rate_Summary"/>
      <sheetName val="Civil_Boq"/>
      <sheetName val="22_12_20111"/>
      <sheetName val="BOQ_(2)1"/>
      <sheetName val="INPUT_SHEET"/>
      <sheetName val="final_abstract"/>
      <sheetName val="Meas__Hotel_Part"/>
      <sheetName val="Ave_wtd_rates"/>
      <sheetName val="Material_"/>
      <sheetName val="Labour_&amp;_Plant"/>
      <sheetName val="Cashflow_projection"/>
      <sheetName val="_09_07_10_M顅ᎆ뤀ᨇ԰缀"/>
      <sheetName val="Item-_Compact"/>
      <sheetName val="St_co_91_5lvl"/>
      <sheetName val="Fill_this_out_first___"/>
      <sheetName val="cash_in_flow_Summary_JV_"/>
      <sheetName val="water_prop_"/>
      <sheetName val="GR_slab-reinft"/>
      <sheetName val="Cost_Index"/>
      <sheetName val="Sales_&amp;_Prod"/>
      <sheetName val="IO_List"/>
      <sheetName val="Staff_Acco_"/>
      <sheetName val="08_07_10헾】ꎋ"/>
      <sheetName val="PA-_Consutant_"/>
      <sheetName val="3cd_Annexure"/>
      <sheetName val="DI_Rate_Analysis1"/>
      <sheetName val="Economic_RisingMain__Ph-I1"/>
      <sheetName val="Civil_Works"/>
      <sheetName val="TBAL9697__group_wise__sdpl"/>
      <sheetName val="MN_T_B_"/>
      <sheetName val="SP_Break_Up"/>
      <sheetName val="Labour_productivity"/>
      <sheetName val="_09_07_10_M顅ᎆ뤀ᨇ԰?缀?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Project_Details_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  ¢_x0002_&amp;_x0000__x0000__x0000_ú5#_x0000__x0000__x0000__x0000__x0000__x0000__x0000_"/>
      <sheetName val="  ¢_x0002_&amp;???ú5#???????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08.07.10헾】_x0005_????菈_x0013_"/>
      <sheetName val="BOQ LT"/>
      <sheetName val="_21_07_10_N_SHIFT_MECH-FA"/>
      <sheetName val="Report"/>
      <sheetName val="B3-B4-B5-_x0006__x0000_"/>
      <sheetName val="_x0000__x0017__x0000__x0012__x0000__x000f__x0000__x0012__x0000__x0013__x0000__x000a__x0000__x001a__x0000__x001b__x0000__x0017__x0000_"/>
      <sheetName val="ᬀᜀሀༀሀ_x0000__x0000__x0000__x0000__x0000__x0000__x0000__x0000__x0000__x0000__x0000__x0000__x0000_"/>
      <sheetName val="CON"/>
      <sheetName val="08.07.10헾】_x0005_??_x0005__x0000__x0000_"/>
      <sheetName val="08.07.10헾】_x0005_??壀&quot;夌&quot;"/>
      <sheetName val="DSLP"/>
      <sheetName val="Load Details(B2)"/>
      <sheetName val="Works - Quote Sheet"/>
      <sheetName val="girder"/>
      <sheetName val="Rocker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Cost Basis"/>
      <sheetName val="segment_topsheet"/>
      <sheetName val="d-safe specs"/>
      <sheetName val="08.07.10헾】_x0005__x0000__x0000"/>
      <sheetName val="08.07.10헾】_x0005_____ꎋ"/>
      <sheetName val="FT-05-02IsoBOM"/>
      <sheetName val="Deduction of assets"/>
      <sheetName val="08.07.10헾】_x0005_"/>
      <sheetName val="目录"/>
      <sheetName val="F&amp;B"/>
      <sheetName val="#REF"/>
      <sheetName val="Kitchen"/>
      <sheetName val="Misc. Data"/>
      <sheetName val="Quote Sheet"/>
      <sheetName val="LMP"/>
      <sheetName val="sc-mar2000"/>
      <sheetName val="B'Sheet"/>
      <sheetName val="Asmp"/>
      <sheetName val="currency"/>
      <sheetName val="eq"/>
      <sheetName val=" _¢_x0002_&amp;"/>
      <sheetName val=" _¢_x0002_&amp;___ú5#_______"/>
      <sheetName val="Main-Material"/>
      <sheetName val="Form-B"/>
      <sheetName val="Blr hire"/>
      <sheetName val="PRECAST-conc-AI"/>
      <sheetName val="Miscellan%ous_x0008_civil"/>
      <sheetName val="b`sic"/>
      <sheetName val="PRECAST lig(tconc_II"/>
      <sheetName val="BLOCK-A (MEA.SHEET)"/>
      <sheetName val="MG"/>
      <sheetName val="VALIDATIONS"/>
      <sheetName val="Mat_Cost"/>
      <sheetName val="08.07.10헾】_x0005_??헾⿂_x0005__x0000_"/>
      <sheetName val="08.07.10헾】_x0005_????懇"/>
      <sheetName val="08.07.10헾】_x0005_??ꮸ⽚_x0005__x0000_"/>
      <sheetName val="08.07.10헾】_x0005_??丵⼽_x0005__x0000_"/>
      <sheetName val="08.07.10헾】_x0005_????癠'"/>
      <sheetName val="08.07.10헾】_x0005_??헾⽀_x0005__x0000_"/>
      <sheetName val="Sqn_Abs"/>
      <sheetName val="calcul"/>
      <sheetName val="08.07.10헾】_x0005_??헾⾑_x0005__x0000_"/>
      <sheetName val=" _x000d_¢_x0002_&amp;_x0000__x0000__x0000_ú5#_x0000__x0000__x0000__x0000__x0000__x0000__x0000_"/>
      <sheetName val=" _x000d_¢_x0002_&amp;???ú5#???????"/>
      <sheetName val="BHANDUP"/>
      <sheetName val="Intro."/>
      <sheetName val="Gate 2"/>
      <sheetName val="Lab"/>
      <sheetName val="Name List"/>
      <sheetName val="starter"/>
      <sheetName val="VF Full Recon"/>
      <sheetName val="PITP3 COPY"/>
      <sheetName val="Meas."/>
      <sheetName val="Expenses Actual Vs. Budgeted"/>
      <sheetName val="Col up to plinth"/>
      <sheetName val="Footing"/>
      <sheetName val="UNIT"/>
      <sheetName val="CCY"/>
      <sheetName val="RCC,Ret. Wall"/>
      <sheetName val="est"/>
      <sheetName val="FORM7"/>
      <sheetName val="C-12"/>
      <sheetName val="Deprec."/>
      <sheetName val="CCTV_EST1"/>
      <sheetName val="KSt - Analysis "/>
      <sheetName val="Section Catalogue"/>
      <sheetName val="9"/>
      <sheetName val="98Price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OVER_HEADS4"/>
      <sheetName val="Cover_Sheet4"/>
      <sheetName val="BOQ_REV_A4"/>
      <sheetName val="PTB_(IO)4"/>
      <sheetName val="BMS_4"/>
      <sheetName val="SPT_vs_PHI4"/>
      <sheetName val="TBAL9697_-group_wise__sdpl4"/>
      <sheetName val="TAX_BILLS2"/>
      <sheetName val="CASH_BILLS2"/>
      <sheetName val="LABOUR_BILLS2"/>
      <sheetName val="puch_order2"/>
      <sheetName val="Sheet1_(2)2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Expenditure_plan2"/>
      <sheetName val="ORDER_BOOKING2"/>
      <sheetName val="Boq_Block_A2"/>
      <sheetName val="scurve_calc_(2)1"/>
      <sheetName val="Direct_cost_shed_A-2_1"/>
      <sheetName val="SITE_OVERHEADS2"/>
      <sheetName val="labour_coeff2"/>
      <sheetName val="beam-reinft-IIInd_floor2"/>
      <sheetName val="Site_Dev_BOQ2"/>
      <sheetName val="Costing_Upto_Mar'11_(2)2"/>
      <sheetName val="Tender_Summary2"/>
      <sheetName val="M-Book_for_Conc2"/>
      <sheetName val="M-Book_for_FW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Civil_Boq1"/>
      <sheetName val="Meas_-Hotel_Part2"/>
      <sheetName val="BOQ_Direct_selling_cost1"/>
      <sheetName val="22_12_20112"/>
      <sheetName val="Contract_Night_Staff1"/>
      <sheetName val="Contract_Day_Staff1"/>
      <sheetName val="Day_Shift1"/>
      <sheetName val="Night_Shift1"/>
      <sheetName val="BOQ_(2)2"/>
      <sheetName val="F20_Risk_Analysis1"/>
      <sheetName val="Change_Order_Log1"/>
      <sheetName val="2000_MOR1"/>
      <sheetName val="Fee_Rate_Summary1"/>
      <sheetName val="Meas__Hotel_Part1"/>
      <sheetName val="St_co_91_5lvl1"/>
      <sheetName val="Sales_&amp;_Prod1"/>
      <sheetName val="final_abstract1"/>
      <sheetName val="INPUT_SHEET1"/>
      <sheetName val="_09_07_10_M顅ᎆ뤀ᨇ԰?缀?1"/>
      <sheetName val="DI_Rate_Analysis2"/>
      <sheetName val="Economic_RisingMain__Ph-I2"/>
      <sheetName val="Fill_this_out_first___1"/>
      <sheetName val="Ave_wtd_rates1"/>
      <sheetName val="Material_1"/>
      <sheetName val="Labour_&amp;_Plant1"/>
      <sheetName val="SP_Break_Up1"/>
      <sheetName val="IO_List1"/>
      <sheetName val="Cashflow_projection1"/>
      <sheetName val="PA-_Consutant_1"/>
      <sheetName val="Item-_Compact1"/>
      <sheetName val="Civil_Works1"/>
      <sheetName val="TBAL9697__group_wise__sdpl1"/>
      <sheetName val="Labour_productivity1"/>
      <sheetName val="Cost_Index1"/>
      <sheetName val="cash_in_flow_Summary_JV_1"/>
      <sheetName val="water_prop_1"/>
      <sheetName val="GR_slab-reinft1"/>
      <sheetName val="Structure_Bills_Qty1"/>
      <sheetName val="MN_T_B_1"/>
      <sheetName val="Staff_Acco_1"/>
      <sheetName val="Driveway_Beams1"/>
      <sheetName val="Rate_analysis-_BOQ_1_1"/>
      <sheetName val="INDIGINEOUS_ITEMS_1"/>
      <sheetName val="Project_Details__1"/>
      <sheetName val="Prelims_Breakup2"/>
      <sheetName val="3cd_Annexure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Rate_Analysis1"/>
      <sheetName val="_09_07_10_M顅ᎆ뤀ᨇ԰1"/>
      <sheetName val="_09_07_10_M顅ᎆ뤀ᨇ԰_缀_1"/>
      <sheetName val="1_Civil-RA1"/>
      <sheetName val="Grade_Slab_-11"/>
      <sheetName val="Grade_Slab_-21"/>
      <sheetName val="Grade_slab-31"/>
      <sheetName val="Grade_slab_-41"/>
      <sheetName val="Grade_slab_-51"/>
      <sheetName val="Grade_slab_-61"/>
      <sheetName val="Phase_11"/>
      <sheetName val="Pacakges_split1"/>
      <sheetName val="T-P1,_FINISHES_WORKING_1"/>
      <sheetName val="Assumption_&amp;_Exclusion1"/>
      <sheetName val="Summary_WG"/>
      <sheetName val="Debits_as_on_12_04_08"/>
      <sheetName val="Assumption_Inputs1"/>
      <sheetName val="AutoOpen_Stub_Data1"/>
      <sheetName val="Eqpmnt_Plng1"/>
      <sheetName val="DEINKING(ANNEX_1)1"/>
      <sheetName val="Data_Sheet"/>
      <sheetName val="External_Doors1"/>
      <sheetName val="Deduction_of_assets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AFAS_"/>
      <sheetName val="RDS_&amp;_WLD"/>
      <sheetName val="PA_System"/>
      <sheetName val="Server_&amp;_PAC_Room"/>
      <sheetName val="HVAC_BOQ"/>
      <sheetName val="Cat_A_Change_Control1"/>
      <sheetName val="14_07_10@&amp;Ò:"/>
      <sheetName val="14_07_10Á&amp;î&lt;"/>
      <sheetName val="¸:;b+/î&lt;î:&amp;&amp;"/>
      <sheetName val="__¢&amp;ú5#"/>
      <sheetName val="__¢&amp;???ú5#???????"/>
      <sheetName val="Factor_Sheet1"/>
      <sheetName val="Theo_Cons-June'10"/>
      <sheetName val="11B_"/>
      <sheetName val="ACAD_Finishes"/>
      <sheetName val="Site_Details"/>
      <sheetName val="Site_Area_Statement"/>
      <sheetName val="Blr_hire"/>
      <sheetName val="d-safe_specs"/>
      <sheetName val="Miscellan%ouscivil"/>
      <sheetName val="PRECAST_lig(tconc_II"/>
      <sheetName val="08_07_10헾】????菈"/>
      <sheetName val="08_07_10헾】_x0000"/>
      <sheetName val="08_07_10헾】____ꎋ"/>
      <sheetName val="Quote_Sheet"/>
      <sheetName val="Invoice_Tracker"/>
      <sheetName val="RCC,Ret__Wall"/>
      <sheetName val="MASTER_RATE_ANALYSIS"/>
      <sheetName val="PRECAST_lightconc-II5"/>
      <sheetName val="PRECAST_lightconc_II5"/>
      <sheetName val="Cleaning_&amp;_Grubbing5"/>
      <sheetName val="College_Details5"/>
      <sheetName val="Personal_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Expenditure_plan3"/>
      <sheetName val="ORDER_BOOKING3"/>
      <sheetName val="beam-reinft-IIInd_floor3"/>
      <sheetName val="M-Book_for_Conc3"/>
      <sheetName val="M-Book_for_FW3"/>
      <sheetName val="TAX_BILLS3"/>
      <sheetName val="CASH_BILLS3"/>
      <sheetName val="LABOUR_BILLS3"/>
      <sheetName val="puch_order3"/>
      <sheetName val="Sheet1_(2)3"/>
      <sheetName val="Boq_Block_A3"/>
      <sheetName val="SITE_OVERHEADS3"/>
      <sheetName val="labour_coeff3"/>
      <sheetName val="Site_Dev_BOQ3"/>
      <sheetName val="Costing_Upto_Mar'11_(2)3"/>
      <sheetName val="Tender_Summary3"/>
      <sheetName val="BOQ_(2)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scurve_calc_(2)2"/>
      <sheetName val="Meas_-Hotel_Part3"/>
      <sheetName val="BOQ_Direct_selling_cost2"/>
      <sheetName val="Contract_Night_Staff2"/>
      <sheetName val="Contract_Day_Staff2"/>
      <sheetName val="Day_Shift2"/>
      <sheetName val="Night_Shift2"/>
      <sheetName val="Direct_cost_shed_A-2_2"/>
      <sheetName val="final_abstract2"/>
      <sheetName val="Fee_Rate_Summary2"/>
      <sheetName val="Civil_Boq2"/>
      <sheetName val="22_12_20113"/>
      <sheetName val="Ave_wtd_rates2"/>
      <sheetName val="Material_2"/>
      <sheetName val="Labour_&amp;_Plant2"/>
      <sheetName val="Cashflow_projection2"/>
      <sheetName val="Item-_Compact2"/>
      <sheetName val="PA-_Consutant_2"/>
      <sheetName val="Meas__Hotel_Part2"/>
      <sheetName val="St_co_91_5lvl2"/>
      <sheetName val="Sales_&amp;_Prod2"/>
      <sheetName val="INPUT_SHEET2"/>
      <sheetName val="Civil_Works2"/>
      <sheetName val="SP_Break_Up2"/>
      <sheetName val="TBAL9697__group_wise__sdpl2"/>
      <sheetName val="IO_List2"/>
      <sheetName val="DI_Rate_Analysis3"/>
      <sheetName val="Economic_RisingMain__Ph-I3"/>
      <sheetName val="Fill_this_out_first___2"/>
      <sheetName val="Prelims_Breakup3"/>
      <sheetName val="Labour_productivity2"/>
      <sheetName val="MN_T_B_2"/>
      <sheetName val="_09_07_10_M顅ᎆ뤀ᨇ԰?缀?2"/>
      <sheetName val="cash_in_flow_Summary_JV_2"/>
      <sheetName val="water_prop_2"/>
      <sheetName val="GR_slab-reinft2"/>
      <sheetName val="Cost_Index2"/>
      <sheetName val="Staff_Acco_2"/>
      <sheetName val="Project_Details__2"/>
      <sheetName val="Rate_analysis-_BOQ_1_2"/>
      <sheetName val="BOQ_LT"/>
      <sheetName val="14_07_10_CIVIL_W ["/>
      <sheetName val="Income_Statement"/>
      <sheetName val="BLOCK-A_(MEA_SHEET)"/>
      <sheetName val="Load_Details(B2)"/>
      <sheetName val="Works_-_Quote_Sheet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Customize Your Invoice"/>
      <sheetName val="08.07.10헾】_x0005_??壀$夌$"/>
      <sheetName val="预算"/>
      <sheetName val="電気設備表"/>
      <sheetName val="Projects"/>
      <sheetName val="Project Ignite"/>
      <sheetName val="Fin. Assumpt. - SensitivitieH"/>
      <sheetName val="ancillary"/>
      <sheetName val="Fin. Assumpt. - Sensitivitie"/>
      <sheetName val="Raw Data"/>
      <sheetName val="beam-reinft-machine rm"/>
      <sheetName val="Publicbuilding"/>
      <sheetName val="Codes"/>
      <sheetName val="grid"/>
      <sheetName val="Cash Flow Input Data_ISC"/>
      <sheetName val="Interface_SC"/>
      <sheetName val="Calc_ISC"/>
      <sheetName val="Calc_SC"/>
      <sheetName val="Interface_ISC"/>
      <sheetName val="GD"/>
      <sheetName val="CPIPE2"/>
      <sheetName val="BLK2"/>
      <sheetName val="BLK3"/>
      <sheetName val="E &amp; R"/>
      <sheetName val="radar"/>
      <sheetName val="UG"/>
      <sheetName val="SEW4"/>
      <sheetName val="LEVEL SHEET"/>
      <sheetName val="DOOR-WIND"/>
      <sheetName val="Form 6"/>
      <sheetName val="Material&amp;equipment"/>
      <sheetName val="_ ¢&amp;ú5#"/>
      <sheetName val="_ ¢&amp;???ú5#???????"/>
      <sheetName val="AREAS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 refreshError="1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 refreshError="1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/>
      <sheetData sheetId="1043" refreshError="1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ase Scope Data"/>
      <sheetName val="WBS Codes"/>
      <sheetName val="Projects"/>
      <sheetName val="Lists"/>
    </sheetNames>
    <sheetDataSet>
      <sheetData sheetId="0"/>
      <sheetData sheetId="1"/>
      <sheetData sheetId="2"/>
      <sheetData sheetId="3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 Note"/>
      <sheetName val="2 Model Workings"/>
      <sheetName val="3 Contents"/>
      <sheetName val="4 Assumptions"/>
      <sheetName val="MDL DEV RPI"/>
      <sheetName val="5 Property Data"/>
      <sheetName val="6 Summary CA "/>
      <sheetName val="7 Dome Summary"/>
      <sheetName val="8 EP Returns"/>
      <sheetName val="8.1 Q Returns"/>
      <sheetName val="9 MDL Returns"/>
      <sheetName val="9.1 Lend Lease returns"/>
      <sheetName val="10 Dome Opex"/>
      <sheetName val="11 Infrastructure account "/>
      <sheetName val="12 Common Cost Account"/>
      <sheetName val="13 Third Party Land Account"/>
      <sheetName val="13.1 Plot allocations to Q land"/>
      <sheetName val="14 Funding Calculation"/>
      <sheetName val="14.1 MDL Dev"/>
      <sheetName val="15 Development Cashflow"/>
      <sheetName val="16 EP Cashflow"/>
      <sheetName val="17 JVA Land Account"/>
      <sheetName val="17.1 Q Cashflow"/>
      <sheetName val="18 MDL&amp;EP Annual Cashflow"/>
      <sheetName val="19 MDL Cashflow"/>
      <sheetName val="19.1 LL Cashflow"/>
      <sheetName val="19.2 LL Accounting"/>
      <sheetName val="20 Cashflow by Phase"/>
      <sheetName val="21 Dome Cashflow"/>
      <sheetName val="22 Definitions - Inputs"/>
      <sheetName val="23 Timetable"/>
      <sheetName val="24 3rd Party Land"/>
      <sheetName val="25 Add. Costs"/>
      <sheetName val="26 Dome Assumptions"/>
      <sheetName val="27 Appraisal - Summary"/>
      <sheetName val="1 inputs"/>
      <sheetName val="2"/>
      <sheetName val="3"/>
      <sheetName val="4"/>
      <sheetName val="5"/>
      <sheetName val="6"/>
      <sheetName val="7"/>
      <sheetName val="28 Fees"/>
      <sheetName val="29 MDLD - Domeco.  Cashflow"/>
      <sheetName val="30 MDLD - Domeco. Scen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omepage"/>
      <sheetName val="1 - Summary"/>
      <sheetName val="2 - Design &amp; Procurement"/>
      <sheetName val="3 - Commercial"/>
      <sheetName val="4 - Programme"/>
      <sheetName val="DesignData"/>
      <sheetName val="ProcurementData"/>
      <sheetName val="CommercialData"/>
      <sheetName val="SummaryData"/>
      <sheetName val="ProgrammeData"/>
      <sheetName val="DashboardQuestion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HT"/>
      <sheetName val="Staff Acco."/>
      <sheetName val="Tel  "/>
      <sheetName val="Ext.light"/>
      <sheetName val="Staff Acco_"/>
      <sheetName val="Control"/>
      <sheetName val="Detail In Door Stad"/>
      <sheetName val="4 Annex 1 Basic rate"/>
      <sheetName val="DETAILED  BOQ"/>
      <sheetName val="FT-05-02IsoBOM"/>
      <sheetName val="Project Details.."/>
      <sheetName val="strain"/>
      <sheetName val="Design"/>
      <sheetName val="p&amp;m"/>
      <sheetName val="refer"/>
      <sheetName val="factors"/>
      <sheetName val="RCC,Ret. Wall"/>
      <sheetName val="Load Details(B2)"/>
      <sheetName val="TBAL9697 -group wise  sdpl"/>
      <sheetName val="Build-up"/>
      <sheetName val="scurve calc (2)"/>
      <sheetName val="Detail P&amp;L"/>
      <sheetName val="Assumption Sheet"/>
      <sheetName val="Gujrat"/>
      <sheetName val="SCHEDULE OF RATES"/>
      <sheetName val="Bill 3 - Site Works"/>
      <sheetName val="Legal Risk Analysis"/>
      <sheetName val="CFLOW"/>
      <sheetName val="COLUMN"/>
      <sheetName val="PRECAST lightconc-II"/>
      <sheetName val="APPENDIX B-1"/>
      <sheetName val="Bill 3.1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Sheet3"/>
      <sheetName val="2gii"/>
      <sheetName val="Fill this out first..."/>
      <sheetName val="RA-markate"/>
      <sheetName val="BOQ"/>
      <sheetName val="analysis"/>
      <sheetName val="GR.slab-reinft"/>
      <sheetName val="Costing"/>
      <sheetName val="sumary"/>
      <sheetName val="Rate Analysis"/>
      <sheetName val="Xenon(R2)"/>
      <sheetName val="SPT vs PHI"/>
      <sheetName val="Precalculation"/>
      <sheetName val="INDIGINEOUS ITEMS "/>
      <sheetName val="schedule1"/>
      <sheetName val="Cable data"/>
      <sheetName val="Table"/>
      <sheetName val="Material "/>
      <sheetName val="basic-data"/>
      <sheetName val="mem-property"/>
      <sheetName val="FORM7"/>
      <sheetName val="Civil Works"/>
      <sheetName val="CABLE"/>
      <sheetName val="number"/>
      <sheetName val="ANAL"/>
      <sheetName val="Staff_Acco_"/>
      <sheetName val="Tel__"/>
      <sheetName val="Ext_light"/>
      <sheetName val="Staff_Acco_1"/>
      <sheetName val="3MLKQ"/>
      <sheetName val="Basement Budget"/>
      <sheetName val="SCHEDULE (3)"/>
      <sheetName val="Database"/>
      <sheetName val="schedule nos"/>
      <sheetName val="INPUT-DATA"/>
      <sheetName val="Boq Block A"/>
      <sheetName val="estimate"/>
      <sheetName val="Sqn_Abs_G_6_ "/>
      <sheetName val="WO_Abs _G_2_ 6 DUs"/>
      <sheetName val="Air_Abs_G_6_ 23 DUs"/>
      <sheetName val="4-Int- ele(RA)"/>
      <sheetName val="4_Annex_1_Basic_rate"/>
      <sheetName val="DETAILED__BOQ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Cable_data"/>
      <sheetName val="BLK2"/>
      <sheetName val="BLK3"/>
      <sheetName val="E &amp; R"/>
      <sheetName val="radar"/>
      <sheetName val="UG"/>
      <sheetName val="BLOCK-A (MEA.SHEET)"/>
      <sheetName val="Box- Girder"/>
      <sheetName val="Parameter"/>
      <sheetName val="1_Project_Profile"/>
      <sheetName val="2004"/>
      <sheetName val="SITE OVERHEADS"/>
      <sheetName val="Detail 1A"/>
      <sheetName val="std"/>
      <sheetName val="Asia Revised 10-1-07"/>
      <sheetName val="All Capital Plan P+L 10-1-07"/>
      <sheetName val="CP08 (2)"/>
      <sheetName val="Planning File 10-1-07"/>
      <sheetName val="banilad"/>
      <sheetName val="Mactan"/>
      <sheetName val="Mandaue"/>
      <sheetName val="Detail"/>
      <sheetName val="BTB"/>
      <sheetName val="cf"/>
      <sheetName val="orders"/>
      <sheetName val="Lease rents"/>
      <sheetName val="DLC lookups"/>
      <sheetName val="CCTV_EST1"/>
      <sheetName val="Quote Sheet"/>
      <sheetName val="labour coeff"/>
      <sheetName val="Works - Quote Sheet"/>
      <sheetName val="Gen Info"/>
      <sheetName val="Indirect expenses"/>
      <sheetName val="Mat_Cost"/>
      <sheetName val="Cost_Any."/>
      <sheetName val="LIST OF MAKES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Mat.Cost"/>
      <sheetName val="Bed Class"/>
      <sheetName val="Cd"/>
      <sheetName val="DATA"/>
      <sheetName val="DTF Summary"/>
      <sheetName val="jobhist"/>
      <sheetName val="UNP-NCW "/>
      <sheetName val="GF Columns"/>
      <sheetName val="BULook"/>
      <sheetName val="Material"/>
      <sheetName val="Zone"/>
      <sheetName val="Vendor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Sheet2"/>
      <sheetName val="MASTER_RATE ANALYSIS"/>
      <sheetName val="Form 6"/>
      <sheetName val="BOQ_Direct_selling cost"/>
      <sheetName val="#REF!"/>
      <sheetName val="VCH-SLC"/>
      <sheetName val="Supplier"/>
      <sheetName val="WWR"/>
      <sheetName val="Cable-data"/>
      <sheetName val="Summary"/>
      <sheetName val="Cover"/>
      <sheetName val="ACS(1)"/>
      <sheetName val="FAS-C(4)"/>
      <sheetName val="사진"/>
      <sheetName val="Intro."/>
      <sheetName val="Estimation"/>
      <sheetName val="Annex"/>
      <sheetName val="Intro"/>
      <sheetName val="beam-reinft-machine rm"/>
      <sheetName val="calcul"/>
      <sheetName val="T1 WO"/>
      <sheetName val="Cost summary"/>
      <sheetName val="Direct cost shed A-2 "/>
      <sheetName val=" Resource list"/>
      <sheetName val="Labour"/>
      <sheetName val="THANE SITE"/>
      <sheetName val="BOQ Distribution"/>
      <sheetName val="01"/>
      <sheetName val="FF Inst RA 08 Inst 03"/>
      <sheetName val="Assumptions"/>
      <sheetName val="specification options"/>
      <sheetName val="key dates"/>
      <sheetName val="Actuals"/>
      <sheetName val="Inventory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Maint"/>
      <sheetName val="Housek"/>
      <sheetName val="concrete"/>
      <sheetName val="beam-reinft-IIInd floor"/>
      <sheetName val="外気負荷"/>
      <sheetName val="A.O.R."/>
      <sheetName val="Labels"/>
      <sheetName val=" IO List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M.R.List (2)"/>
      <sheetName val="Aseet1998"/>
      <sheetName val="Balance Sheet "/>
      <sheetName val="SCHEDULE"/>
      <sheetName val="GBW"/>
      <sheetName val="Transfer"/>
      <sheetName val="M+MC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DATA"/>
      <sheetName val="Balance works - Direct Cost"/>
      <sheetName val="Expenditure plan"/>
      <sheetName val="Staff Acco."/>
      <sheetName val="from q2"/>
      <sheetName val="factors"/>
      <sheetName val="Financials"/>
      <sheetName val="Operating Statistics"/>
      <sheetName val="Revenues assumptions "/>
      <sheetName val="#REF!"/>
      <sheetName val="Parameter"/>
      <sheetName val="1_Project_Profile"/>
      <sheetName val="SOR"/>
      <sheetName val="Annex"/>
      <sheetName val="SPILL OVER"/>
      <sheetName val="Staff Acco_"/>
      <sheetName val="basic-data"/>
      <sheetName val="mem-property"/>
      <sheetName val="Detail In Door Stad"/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SBC-BH-1"/>
      <sheetName val="BH-1"/>
      <sheetName val="SBC-BH-3"/>
      <sheetName val="BH-3"/>
      <sheetName val="Sheet4"/>
      <sheetName val="SPT vs PHI"/>
      <sheetName val="Intro"/>
      <sheetName val="VCH-SLC"/>
      <sheetName val="Supplier"/>
      <sheetName val="Names&amp;Cases"/>
      <sheetName val="CCTV_EST1"/>
      <sheetName val="CABLE"/>
      <sheetName val="number"/>
      <sheetName val="Build-up"/>
      <sheetName val="Fill this out first..."/>
      <sheetName val="p&amp;m"/>
      <sheetName val="Sheet2"/>
      <sheetName val="Control"/>
      <sheetName val="RCC,Ret. Wall"/>
      <sheetName val="key dates"/>
      <sheetName val="Actuals"/>
      <sheetName val="Field Values"/>
      <sheetName val="CABLE DATA"/>
      <sheetName val="TBAL9697 -group wise  sdpl"/>
      <sheetName val="220 11  BS "/>
      <sheetName val="INPUT-DATA"/>
      <sheetName val="Set"/>
      <sheetName val="Block A - BOQ"/>
      <sheetName val="Detail 1A"/>
      <sheetName val="Rate"/>
      <sheetName val="Approved MTD Proj #'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gen"/>
      <sheetName val="SBC-BH 19"/>
      <sheetName val="SBC-BH-16"/>
      <sheetName val="BH-20"/>
      <sheetName val="BH-15"/>
      <sheetName val="BH-14"/>
      <sheetName val="BH-16"/>
      <sheetName val="BH-17"/>
      <sheetName val="sbc-ABH-1"/>
      <sheetName val="ABH-1"/>
      <sheetName val="BH-19"/>
      <sheetName val="SBC-BH-1"/>
      <sheetName val="BH-1"/>
      <sheetName val="SBC-BH-3"/>
      <sheetName val="BH-3"/>
      <sheetName val="Sheet4"/>
      <sheetName val="SPT vs PH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Notes"/>
      <sheetName val="Benchmark"/>
      <sheetName val="MC_PRELIMS"/>
      <sheetName val="Accommodation "/>
      <sheetName val="Staff Schedule"/>
      <sheetName val="Staff Schedule - post 119"/>
      <sheetName val="Logistics Staff Schedule"/>
      <sheetName val="2007-08 Staff Rates"/>
      <sheetName val="Extract Programme"/>
      <sheetName val="Rate Build Up - not used"/>
      <sheetName val="Tender Close Out Sheet"/>
      <sheetName val="Settlement Mtg Notes"/>
      <sheetName val="Site Copying"/>
      <sheetName val="Agency Printing"/>
      <sheetName val="HOISTING "/>
      <sheetName val="Electric Current"/>
      <sheetName val="Telephone Calls"/>
      <sheetName val="Staff-Audit trail-2000"/>
      <sheetName val="Staff-Audit trail-2001"/>
      <sheetName val="Module2"/>
      <sheetName val="Module4"/>
      <sheetName val="Module5"/>
      <sheetName val="Module6"/>
      <sheetName val="Module8"/>
      <sheetName val="Module7"/>
      <sheetName val="Module9"/>
      <sheetName val="Module11"/>
      <sheetName val="Module12"/>
      <sheetName val="Module13"/>
      <sheetName val="Module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CA "/>
      <sheetName val="DCA Analysis"/>
      <sheetName val="Fee Tracker"/>
      <sheetName val="Fee Breakdown"/>
      <sheetName val="N06-Fees"/>
      <sheetName val="Workings-Revenue + Rent G"/>
      <sheetName val="N06 - Cost Planner"/>
      <sheetName val="Workings-Other Costs"/>
      <sheetName val="Assumptions"/>
      <sheetName val="Savills"/>
      <sheetName val="17"/>
      <sheetName val="N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1 Note"/>
      <sheetName val="02 Model Workings"/>
      <sheetName val="03 Contents"/>
      <sheetName val="04 Gen Assumptions"/>
      <sheetName val="04a Variable Land Adjustments"/>
      <sheetName val="05 Hotel Assumptions"/>
      <sheetName val="06 3rd Party Land"/>
      <sheetName val="07 Add. Costs"/>
      <sheetName val="08 Dome Assumptions"/>
      <sheetName val="09 Inputs by Phase"/>
      <sheetName val="10 Inputs by Plot"/>
      <sheetName val="11 Inputs by Use"/>
      <sheetName val="12 Cost to Plot"/>
      <sheetName val="13 Value Calcs"/>
      <sheetName val="14 Sales (Sqft)"/>
      <sheetName val="15 NDV"/>
      <sheetName val="16 Dev Value Growth"/>
      <sheetName val="17 Dev Costs"/>
      <sheetName val="18 Dev Infra"/>
      <sheetName val="19 Dev Cost Growth"/>
      <sheetName val="20 Dev Cum Cashflow for Finance"/>
      <sheetName val="20a Negative RLV"/>
      <sheetName val="21 Dev Finance"/>
      <sheetName val="22 Dev Profit"/>
      <sheetName val="23 Dev Profit Growth"/>
      <sheetName val="24 Dev Purch Costs"/>
      <sheetName val="25 RLV Interim"/>
      <sheetName val="26 RLV"/>
      <sheetName val="27 RLV Interest"/>
      <sheetName val="28 Development (Sqft)"/>
      <sheetName val="29 Development Summary"/>
      <sheetName val="30 Dev by Use"/>
      <sheetName val="31 Min Land Value"/>
      <sheetName val="32 MLV Growth"/>
      <sheetName val="33 LMA Infra Timing"/>
      <sheetName val="34 s106 Timing"/>
      <sheetName val="35 Infrastructure account "/>
      <sheetName val="36 Additional Costs Account"/>
      <sheetName val="37 3rd Party Land Account"/>
      <sheetName val="38 Funding Account"/>
      <sheetName val="39 Land Management Account"/>
      <sheetName val="39a Affordable Adjustment"/>
      <sheetName val="40 Direct Development Accou"/>
      <sheetName val="41 JVA Landowners Account"/>
      <sheetName val="42 Dome Cashflow"/>
      <sheetName val="45 Landowner Cashflow"/>
      <sheetName val="46 Landowner Returns"/>
      <sheetName val="47 MDL Cashflow"/>
      <sheetName val="48 MDL Returns"/>
      <sheetName val="49 Returns Summary"/>
      <sheetName val="50 Reconciliation"/>
      <sheetName val="51 Change Control"/>
      <sheetName val="52 LL Cash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nput &amp; Checks"/>
      <sheetName val=" Detailed cash &amp; invs"/>
      <sheetName val=" Detailed cashflow - paid"/>
      <sheetName val=" Unpaid invoices summary"/>
      <sheetName val="Invoice log"/>
      <sheetName val="SPLIT"/>
      <sheetName val="Fee Summary"/>
      <sheetName val="Extracts from Project Model"/>
      <sheetName val="Expenditure Types"/>
      <sheetName val="Rail sidings CF"/>
      <sheetName val="ODA Claims summary"/>
      <sheetName val="RPS Planning"/>
      <sheetName val="N01 design fees budget"/>
      <sheetName val="Extra piling"/>
      <sheetName val="Timing"/>
      <sheetName val="Construction S-Curv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mplete Statement"/>
      <sheetName val="Cost Input-Maketing"/>
      <sheetName val="External Finisehs-Architect"/>
      <sheetName val="Primero Tower Budget"/>
      <sheetName val="Infra Primero Budget"/>
      <sheetName val="Project Brief"/>
      <sheetName val="Saleable Areas"/>
      <sheetName val="BUA Statement -Modified"/>
      <sheetName val="Primero -CLOA-13-05-09"/>
      <sheetName val="Summary"/>
      <sheetName val="Summary for marketing"/>
      <sheetName val="Budget Tower"/>
      <sheetName val="Covered Parking budget"/>
      <sheetName val="Built Infra"/>
      <sheetName val="NON BUILT INFRA budget "/>
      <sheetName val="Annex 1 Consultant"/>
      <sheetName val="Annexure 2 Civil Work "/>
      <sheetName val="Annexure 3 Finishing Work "/>
      <sheetName val="Annexure 4 Services "/>
      <sheetName val="Annexure 5 Site Establishment"/>
      <sheetName val="Price Sheet-Elevator_"/>
      <sheetName val="3 BHK"/>
      <sheetName val="2 BHK"/>
      <sheetName val="Material List "/>
      <sheetName val="Material List-Purchase"/>
      <sheetName val="Labour Rate "/>
      <sheetName val="(M+L)"/>
      <sheetName val="Guidelines"/>
      <sheetName val="Consumption of Materials"/>
      <sheetName val="Plumbing"/>
      <sheetName val="Services-As per DBR"/>
      <sheetName val="Services - Podium"/>
      <sheetName val="Services tower"/>
      <sheetName val="C.P. Fitting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1 Note"/>
      <sheetName val="02 Model Workings"/>
      <sheetName val="03 Contents"/>
      <sheetName val="04 Gen Assumptions"/>
      <sheetName val="04a Variable Land Adjustments"/>
      <sheetName val="05 Hotel Assumptions"/>
      <sheetName val="06 3rd Party Land"/>
      <sheetName val="07 Add. Costs"/>
      <sheetName val="08 Dome Assumptions"/>
      <sheetName val="09 Inputs by Phase"/>
      <sheetName val="10 Inputs by Plot"/>
      <sheetName val="11 Inputs by Use"/>
      <sheetName val="12 Cost to Plot"/>
      <sheetName val="13 Value Calcs"/>
      <sheetName val="14 Sales (Sqft)"/>
      <sheetName val="15 NDV"/>
      <sheetName val="16 Dev Value Growth"/>
      <sheetName val="17 Dev Costs"/>
      <sheetName val="18 Dev Infra"/>
      <sheetName val="19 Dev Cost Growth"/>
      <sheetName val="20 Dev Cum Cashflow for Finance"/>
      <sheetName val="20a Negative RLV"/>
      <sheetName val="21 Dev Finance"/>
      <sheetName val="22 Dev Profit"/>
      <sheetName val="23 Dev Profit Growth"/>
      <sheetName val="24 Dev Purch Costs"/>
      <sheetName val="25 RLV Interim"/>
      <sheetName val="26 RLV"/>
      <sheetName val="27 RLV Interest"/>
      <sheetName val="28 Development (Sqft)"/>
      <sheetName val="29 Development Summary"/>
      <sheetName val="30 Dev by Use"/>
      <sheetName val="31 Min Land Value"/>
      <sheetName val="32 MLV Growth"/>
      <sheetName val="33 LMA Infra Timing"/>
      <sheetName val="34 s106 Timing"/>
      <sheetName val="35 Infrastructure account "/>
      <sheetName val="36 Additional Costs Account"/>
      <sheetName val="37 3rd Party Land Account"/>
      <sheetName val="38 Funding Account"/>
      <sheetName val="39 Land Management Account"/>
      <sheetName val="39a Affordable Adjustment"/>
      <sheetName val="40 Direct Development Account"/>
      <sheetName val="41 JVA Landowners Account"/>
      <sheetName val="42 Dome Cashflow"/>
      <sheetName val="43 Q Cashflow"/>
      <sheetName val="44 Q Returns"/>
      <sheetName val="45 EP Cashflow"/>
      <sheetName val="46 EP Returns"/>
      <sheetName val="47 MDL Cashflow"/>
      <sheetName val="48 MDL Returns"/>
      <sheetName val="49 Returns Summary"/>
      <sheetName val="50 Reconciliation"/>
      <sheetName val="51 Change Contro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 refreshError="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ntents"/>
      <sheetName val="Model diagram"/>
      <sheetName val="Graph data"/>
      <sheetName val="47. Dashboard"/>
      <sheetName val="&gt;&gt;Output sheets"/>
      <sheetName val="46. Shareholder Returns"/>
      <sheetName val="45. MDL Returns"/>
      <sheetName val="44. MDL Annual Financials"/>
      <sheetName val="43. MDL Quarterly Financials"/>
      <sheetName val="42. DevCo Annual Financials"/>
      <sheetName val="41. DevCo Quarterly Financials"/>
      <sheetName val="40. Trigger sheet"/>
      <sheetName val="39. Value by plot"/>
      <sheetName val="38. Area by plot &amp; use"/>
      <sheetName val="37. Value and area by use"/>
      <sheetName val="36. Landowner returns"/>
      <sheetName val="35. Landowner cashflow"/>
      <sheetName val="34. Other landowner outputs"/>
      <sheetName val="33. Cost summary"/>
      <sheetName val="&gt;&gt;&gt;Global calc sheets"/>
      <sheetName val="32. Landowners account"/>
      <sheetName val="31. DD account"/>
      <sheetName val="30. LM account"/>
      <sheetName val="29. Affordable housing account"/>
      <sheetName val="28. Funding Accounts"/>
      <sheetName val="27. Operational costs account"/>
      <sheetName val="26. Infrastructure account"/>
      <sheetName val="25. Global WIP account"/>
      <sheetName val="&gt;&gt;&gt;Plot Consols sheets"/>
      <sheetName val="24. Consol Plot use outputs"/>
      <sheetName val="23. Consol plot outputs"/>
      <sheetName val="21. LM Plot Consolidation"/>
      <sheetName val="22. DevCo Plot Consolidation"/>
      <sheetName val="20. Essential Consol Items"/>
      <sheetName val="&gt;&gt;&gt;Plot Calc sheets"/>
      <sheetName val="19. Essential Plot Items"/>
      <sheetName val="18. Plot use outputs"/>
      <sheetName val="17. Plot Annual Summary"/>
      <sheetName val="16. DevCo Plot outputs"/>
      <sheetName val="15. LM Plot outputs"/>
      <sheetName val="14. DevCo Plot Forecasts"/>
      <sheetName val="13. LM Plot Forecasts"/>
      <sheetName val="12. DevCo Plot RLV"/>
      <sheetName val="11. Plot RLV by use"/>
      <sheetName val="10. Plot Dev appraisal by use"/>
      <sheetName val="9. Plot Development appraisal"/>
      <sheetName val="&gt;&gt;&gt;Input sheets"/>
      <sheetName val="8. MDL Other items"/>
      <sheetName val="7. MDL actuals"/>
      <sheetName val="6. LM Plot Actuals"/>
      <sheetName val="5. DevCo Plot Actuals"/>
      <sheetName val="4. Plot forecast inputs"/>
      <sheetName val="3. Global inputs"/>
      <sheetName val="2. Workings Area"/>
      <sheetName val="1. Checks"/>
      <sheetName val="sysTimeline"/>
      <sheetName val="sysConfig"/>
      <sheetName val="Funding Goalseek"/>
      <sheetName val="MDL returns"/>
      <sheetName val="MDL BP Returns"/>
      <sheetName val="MDL Devco BP Returns"/>
      <sheetName val="LL Returns"/>
      <sheetName val="QED Returns"/>
      <sheetName val="Funding"/>
      <sheetName val="Plot Detail"/>
      <sheetName val="Values and Build cost Analysis"/>
      <sheetName val="Trend Analysis"/>
      <sheetName val="Monitoring Conditions"/>
      <sheetName val="EP Landowner Summary"/>
      <sheetName val="QED Landowner 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Welcome"/>
      <sheetName val="Documentation"/>
      <sheetName val="Instructions"/>
      <sheetName val="Colour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R List"/>
      <sheetName val="Lists"/>
      <sheetName val="STARS120407"/>
      <sheetName val="STARS290307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HR List"/>
      <sheetName val="Lists"/>
      <sheetName val="STARS290107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 Concrete "/>
      <sheetName val="Summary Steel"/>
      <sheetName val="Soling &amp; PCC qty"/>
      <sheetName val="Raft slab"/>
      <sheetName val="Footing"/>
      <sheetName val="PLinth Beam"/>
      <sheetName val=" column upto basement"/>
      <sheetName val="Conc column"/>
      <sheetName val="Column above basement "/>
      <sheetName val="Retaining Wall upto basement"/>
      <sheetName val="Retaining Wall above basement"/>
      <sheetName val="Retaining Wall (Conc)"/>
      <sheetName val="Slab at Ground flr lvl(Steel)"/>
      <sheetName val="Beam at Ground flr lvl(Steel)"/>
      <sheetName val="Soling qty"/>
      <sheetName val="Raft steel"/>
      <sheetName val="Beam at First flr lvl"/>
      <sheetName val="First flr slab"/>
      <sheetName val="Slab at Ground flr lvl (Conc)"/>
      <sheetName val="Beam at Ground flr lvl (Conc)"/>
      <sheetName val="Tremix"/>
      <sheetName val="Slab at Ground flr lvl"/>
      <sheetName val="Beam at Ground flr lvl"/>
      <sheetName val="Beam at First floor"/>
      <sheetName val="Podium floor Sl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/>
      <sheetData sheetId="23" refreshError="1"/>
      <sheetData sheetId="24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Info"/>
      <sheetName val="Contents"/>
      <sheetName val="Dashboard"/>
      <sheetName val="&gt;&gt;Output sheets"/>
      <sheetName val="DevCo Annual Financials"/>
      <sheetName val="DevCo Quarterly Financials"/>
      <sheetName val="MDL Annual Financials"/>
      <sheetName val="MDL Quarterly Financials"/>
      <sheetName val="MDL Returns"/>
      <sheetName val="Trigger sheet"/>
      <sheetName val="Value by plot"/>
      <sheetName val="Area by plot &amp; use"/>
      <sheetName val="Value and area by use"/>
      <sheetName val="Landowner returns"/>
      <sheetName val="Landowner cashflow"/>
      <sheetName val="Other landowner outputs"/>
      <sheetName val="PBT by plot"/>
      <sheetName val="Cost summary"/>
      <sheetName val="Graph data"/>
      <sheetName val="&gt;&gt;&gt;Global calc sheets"/>
      <sheetName val="Landowners account"/>
      <sheetName val="Funding Accounts"/>
      <sheetName val="Affordable housing account"/>
      <sheetName val="DD account"/>
      <sheetName val="LM account"/>
      <sheetName val="Operational costs account"/>
      <sheetName val="Infrastructure account"/>
      <sheetName val="Global WIP account"/>
      <sheetName val="&gt;&gt;&gt;Plot Consols sheets"/>
      <sheetName val="Consol Plot use outputs"/>
      <sheetName val="Consol plot outputs"/>
      <sheetName val="Essential Consol Items"/>
      <sheetName val="DevCo Plot Consolidation"/>
      <sheetName val="LM Plot Consolidation"/>
      <sheetName val="&gt;&gt;&gt;Plot Calc sheets"/>
      <sheetName val="Plot use outputs"/>
      <sheetName val="Essential Plot Items"/>
      <sheetName val="Plot Annual Summary"/>
      <sheetName val="DevCo Plot outputs"/>
      <sheetName val="LM Plot outputs"/>
      <sheetName val="DevCo Plot Forecasts"/>
      <sheetName val="LM Forecasts"/>
      <sheetName val="Plot RLV"/>
      <sheetName val="Plot Development appraisal"/>
      <sheetName val="&gt;&gt;&gt;Input sheets"/>
      <sheetName val="MDL actuals"/>
      <sheetName val="LM Plot Actuals"/>
      <sheetName val="DevCo Plot Actuals"/>
      <sheetName val="Plot level inputs"/>
      <sheetName val="LDA Model Template"/>
      <sheetName val="Global inputs"/>
      <sheetName val="Workings Area"/>
      <sheetName val="Checks"/>
      <sheetName val="sysTimeline"/>
      <sheetName val="sysConfi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Final costs up to July 08"/>
      <sheetName val="Budget versus Actual "/>
      <sheetName val="ODA accrual -Jul 08"/>
      <sheetName val="Jul  08 cost report - estimated"/>
      <sheetName val="Monthly JMS Progress  Report "/>
      <sheetName val="NGET Security"/>
      <sheetName val="EDFE Security"/>
      <sheetName val="T14 Add Security"/>
      <sheetName val="July Accrua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evelopment"/>
      <sheetName val="Delivery"/>
      <sheetName val="Commercial"/>
      <sheetName val="Risks"/>
      <sheetName val="Attendees.Actions.Decisions"/>
      <sheetName val="Dashboard"/>
      <sheetName val="Appendices"/>
      <sheetName val="Drop-Down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Disclaimer"/>
      <sheetName val="Model Navigation"/>
      <sheetName val="Cost Overrun DELETE"/>
      <sheetName val="Summary Data DELETE"/>
      <sheetName val="Summary"/>
      <sheetName val="Simple Summary"/>
      <sheetName val="Banking Summary"/>
      <sheetName val="Pre-Games Funding"/>
      <sheetName val="Escalation"/>
      <sheetName val="Funding Inputs"/>
      <sheetName val="Fee Structure"/>
      <sheetName val="Product Types"/>
      <sheetName val="Block Inputs"/>
      <sheetName val="Project Budget Export"/>
      <sheetName val="Development Inputs"/>
      <sheetName val="Pre-Games Summary"/>
      <sheetName val="Pre-Games Overag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Pre- Games Infra"/>
      <sheetName val="Pre Games Site Wide Costs"/>
      <sheetName val="DF"/>
      <sheetName val="S-Curve"/>
      <sheetName val="Error Checks"/>
      <sheetName val="PG Phase 1"/>
      <sheetName val="PG Phase 2"/>
      <sheetName val="PG Phase 3"/>
      <sheetName val="PG Phase 4"/>
      <sheetName val="PG Phase 5"/>
      <sheetName val="PG Phase 6"/>
      <sheetName val="Post- Games Infra"/>
      <sheetName val="Post-Games Summary"/>
      <sheetName val="IRR Notes"/>
      <sheetName val="Project Gant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Disclaimer"/>
      <sheetName val="To Do"/>
      <sheetName val="Model Navigation"/>
      <sheetName val="Pre Sale Override"/>
      <sheetName val="Fee Structure"/>
      <sheetName val="Sales Profile Override"/>
      <sheetName val="Summary"/>
      <sheetName val="Simple Summary"/>
      <sheetName val="Project Budget Export"/>
      <sheetName val="Banking Summary"/>
      <sheetName val="Pre-Games Funding"/>
      <sheetName val="Escalation"/>
      <sheetName val="Funding Inputs"/>
      <sheetName val="Product Types"/>
      <sheetName val="Block Inputs"/>
      <sheetName val="Development Inputs"/>
      <sheetName val="Pre-Games Summary"/>
      <sheetName val="State aid Numbers"/>
      <sheetName val="Pre-Games Overage"/>
      <sheetName val="DMPM 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Pre- Games Infra"/>
      <sheetName val="Pre Games Site Wide Costs"/>
      <sheetName val="DF"/>
      <sheetName val="S-Curve"/>
      <sheetName val="Error Checks"/>
      <sheetName val="PG Phase 1"/>
      <sheetName val="PG Phase 2"/>
      <sheetName val="PG Phase 3"/>
      <sheetName val="PG Phase 4"/>
      <sheetName val="PG Phase 5"/>
      <sheetName val="PG Phase 6"/>
      <sheetName val="Post- Games Infra"/>
      <sheetName val="Post-Games Summary"/>
      <sheetName val="IRR Notes"/>
      <sheetName val="Project Gantt"/>
      <sheetName val="Distribu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over"/>
      <sheetName val="Disclaimer"/>
      <sheetName val="Model Navigation"/>
      <sheetName val="Summary"/>
      <sheetName val="Banking Summary"/>
      <sheetName val="Pre-Games Funding"/>
      <sheetName val="Escalation"/>
      <sheetName val="Funding Inputs"/>
      <sheetName val="Product Types"/>
      <sheetName val="Block Inputs"/>
      <sheetName val="Development Inputs"/>
      <sheetName val="Pre-Games Summary"/>
      <sheetName val="Pre-Games Overage"/>
      <sheetName val="Post-Games Summary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VAT"/>
      <sheetName val="Pre- Games Infra"/>
      <sheetName val="S-Curve"/>
      <sheetName val="Error Checks"/>
      <sheetName val="PG Phase 1"/>
      <sheetName val="PG Phase 2"/>
      <sheetName val="PG Phase 3"/>
      <sheetName val="PG Phase 4"/>
      <sheetName val="PG Phase 5"/>
      <sheetName val="PG Phase 6"/>
      <sheetName val="DF"/>
      <sheetName val="Post- Games Infra"/>
      <sheetName val="Pre Games Site Wide Costs"/>
      <sheetName val="IRR Notes"/>
      <sheetName val="Reconciliation"/>
      <sheetName val="Commercial Checks"/>
      <sheetName val="Rec Notes"/>
      <sheetName val="PC Override Controls"/>
      <sheetName val="Commercial Comparison"/>
      <sheetName val="Warranty"/>
      <sheetName val="Scenario Review"/>
      <sheetName val="Project Gantt"/>
      <sheetName val="Assump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roject Codes"/>
      <sheetName val="Expense Codes"/>
      <sheetName val="VA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 top 2B cer"/>
      <sheetName val="CIVIL abs II B CER  "/>
      <sheetName val="SC meas"/>
      <sheetName val="2B SPECIA_completed "/>
      <sheetName val="2B SPEC_BALANCE"/>
      <sheetName val="CUSTOMER WORKS "/>
      <sheetName val="Sales rate sheet"/>
      <sheetName val="2b BACKFILLING"/>
      <sheetName val="ANTI TERMITE sol"/>
      <sheetName val="PCC"/>
      <sheetName val="RCC,FDN"/>
      <sheetName val="RCC,COL"/>
      <sheetName val="RCC SEPTIC TANK"/>
      <sheetName val="RCC SLAB"/>
      <sheetName val="F.ESCAPE ST.RCC"/>
      <sheetName val="RCC,Ret. Wall"/>
      <sheetName val="RCC,WALL"/>
      <sheetName val="CABL TRE,RCC"/>
      <sheetName val="rcc lintels"/>
      <sheetName val="TUNNEL,RCC"/>
      <sheetName val="SWD  RCC"/>
      <sheetName val="RCC PLINTH BEAM "/>
      <sheetName val="sump,RCC"/>
      <sheetName val="SHU,FDN"/>
      <sheetName val="SHU,COL"/>
      <sheetName val="SHU,WALL"/>
      <sheetName val="SWD shu"/>
      <sheetName val="SHU PLINTH BEAMS "/>
      <sheetName val="ShUTTER LINTEL"/>
      <sheetName val="SHU,SLAB  "/>
      <sheetName val="shu.re.wall"/>
      <sheetName val="shu,stair"/>
      <sheetName val="s.tank sh"/>
      <sheetName val="TUNNEL,SHU"/>
      <sheetName val="cabl tren,shu"/>
      <sheetName val="SUMP,SHUT"/>
      <sheetName val="prestressing"/>
      <sheetName val="precast"/>
      <sheetName val="BLOCKWORK"/>
      <sheetName val="Plastering"/>
      <sheetName val="Brickbat jelly"/>
      <sheetName val="IPS"/>
      <sheetName val="Screed"/>
      <sheetName val="POP"/>
      <sheetName val="WATERP."/>
      <sheetName val="MIsc_POLYETH. SHEET"/>
      <sheetName val="structural"/>
      <sheetName val="TEMP."/>
      <sheetName val="Drawings "/>
      <sheetName val="rework claim status "/>
      <sheetName val="project data sheet"/>
      <sheetName val="figures"/>
      <sheetName val="hanging restaurant area modi"/>
      <sheetName val=" ROAD &amp; WALL _2B"/>
      <sheetName val="2B landscaping meas sheet"/>
      <sheetName val="land_irri_plant_old"/>
      <sheetName val="2B Signages"/>
      <sheetName val="irri_plant_latest"/>
      <sheetName val="strand"/>
      <sheetName val="ABP inputs"/>
      <sheetName val="Synergy Sales Budget"/>
      <sheetName val="Project Budget Worksheet"/>
      <sheetName val="Lead"/>
      <sheetName val="RES-PLANNING"/>
      <sheetName val="IO LIST"/>
      <sheetName val="Sheet3 (2)"/>
      <sheetName val="Break up Sheet"/>
      <sheetName val="2B_JUNE 2K3"/>
      <sheetName val="Material "/>
      <sheetName val="Civil Boq"/>
      <sheetName val="Results"/>
      <sheetName val="PLGroupings"/>
      <sheetName val="Boq"/>
      <sheetName val="RA-markate"/>
      <sheetName val="Fill this out first..."/>
      <sheetName val="Field Values"/>
      <sheetName val="Supplier"/>
      <sheetName val="estima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1 Note"/>
      <sheetName val="02 Model Workings"/>
      <sheetName val="03 Contents"/>
      <sheetName val="04 Gen Assumptions"/>
      <sheetName val="04a Variable Land Adjustments"/>
      <sheetName val="05 Hotel Assumptions"/>
      <sheetName val="06 3rd Party Land"/>
      <sheetName val="07 Add. Costs"/>
      <sheetName val="08 Dome Assumptions"/>
      <sheetName val="09 Inputs by Phase"/>
      <sheetName val="10 Inputs by Plot"/>
      <sheetName val="11 Inputs by Use"/>
      <sheetName val="12 Cost to Plot"/>
      <sheetName val="13 Value Calcs"/>
      <sheetName val="14 Sales (Sqft)"/>
      <sheetName val="15 NDV"/>
      <sheetName val="16 Dev Value Growth"/>
      <sheetName val="17 Dev Costs"/>
      <sheetName val="18 Dev Infra"/>
      <sheetName val="19 Dev Cost Growth"/>
      <sheetName val="20 Dev Cum Cashflow for Finance"/>
      <sheetName val="20a Negative RLV"/>
      <sheetName val="21 Dev Finance"/>
      <sheetName val="22 Dev Profit"/>
      <sheetName val="23 Dev Profit Growth"/>
      <sheetName val="24 Dev Purch Costs"/>
      <sheetName val="25 RLV Interim"/>
      <sheetName val="26 RLV"/>
      <sheetName val="27 RLV Interest"/>
      <sheetName val="28 Development (Sqft)"/>
      <sheetName val="29 Development Summary"/>
      <sheetName val="30 Dev by Use"/>
      <sheetName val="31 Min Land Value"/>
      <sheetName val="32 MLV Growth"/>
      <sheetName val="33 LMA Infra Timing"/>
      <sheetName val="34 s106 Timing"/>
      <sheetName val="35 Infrastructure account "/>
      <sheetName val="36 Additional Costs Account"/>
      <sheetName val="37 3rd Party Land Account"/>
      <sheetName val="38 Funding Account"/>
      <sheetName val="39 Land Management Account"/>
      <sheetName val="39a Affordable Adjustment"/>
      <sheetName val="40 Direct Development Account"/>
      <sheetName val="41 JVA Landowners Account"/>
      <sheetName val="42 Dome Cashflow"/>
      <sheetName val="43 Q Cashflow"/>
      <sheetName val="44 Q Returns"/>
      <sheetName val="45 EP Cashflow"/>
      <sheetName val="46 EP Returns"/>
      <sheetName val="47 MDL Cashflow"/>
      <sheetName val="48 MDL Returns"/>
      <sheetName val="49 Returns Summary"/>
      <sheetName val="50 Reconciliation"/>
      <sheetName val="51 Change Contr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Graphs"/>
      <sheetName val="Cost Flow Graphs"/>
      <sheetName val="Drop-Down Lists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4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ster"/>
      <sheetName val="Graphs"/>
      <sheetName val="Drop-Down Lists"/>
    </sheetNames>
    <sheetDataSet>
      <sheetData sheetId="0"/>
      <sheetData sheetId="1"/>
      <sheetData sheetId="2"/>
    </sheetDataSet>
  </externalBook>
</externalLink>
</file>

<file path=xl/externalLinks/externalLink4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pplier No."/>
      <sheetName val="Cover"/>
      <sheetName val="Summary"/>
      <sheetName val="Enabling Works"/>
      <sheetName val="Utilities"/>
      <sheetName val="SBH"/>
      <sheetName val="PLUG"/>
      <sheetName val="Stadium"/>
      <sheetName val="Aquatics"/>
      <sheetName val="Handball"/>
      <sheetName val="Velodrome"/>
      <sheetName val="BMX"/>
      <sheetName val="Hockey"/>
      <sheetName val="Basketball"/>
      <sheetName val="Fencing"/>
      <sheetName val="Eton Manor"/>
      <sheetName val="IBC MPC"/>
      <sheetName val="Logistics"/>
      <sheetName val="Other venues"/>
      <sheetName val="Masterplan"/>
      <sheetName val="Town Planning"/>
      <sheetName val="Landscaping"/>
      <sheetName val="Greenway"/>
      <sheetName val="Thorntons Field"/>
      <sheetName val="Transport"/>
      <sheetName val="Security"/>
      <sheetName val="Village"/>
      <sheetName val="ODA"/>
      <sheetName val="CL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4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pplier No."/>
      <sheetName val="Cover"/>
      <sheetName val="Summary"/>
      <sheetName val="Enabling Works"/>
      <sheetName val="Utilities"/>
      <sheetName val="SBH"/>
      <sheetName val="PLUG"/>
      <sheetName val="Stadium"/>
      <sheetName val="Aquatics"/>
      <sheetName val="Water Polo"/>
      <sheetName val="F10"/>
      <sheetName val="Handball"/>
      <sheetName val="Velopark"/>
      <sheetName val="BMX"/>
      <sheetName val="Hockey"/>
      <sheetName val="Basketball"/>
      <sheetName val="Fencing"/>
      <sheetName val="Eton Manor"/>
      <sheetName val="IBC MPC"/>
      <sheetName val="Logistics"/>
      <sheetName val="Other venues"/>
      <sheetName val="Masterplan"/>
      <sheetName val="Town Planning"/>
      <sheetName val="Landscaping"/>
      <sheetName val="Greenway"/>
      <sheetName val="Thorntons Field"/>
      <sheetName val="Transport"/>
      <sheetName val="Insurance"/>
      <sheetName val="Security"/>
      <sheetName val="Village"/>
      <sheetName val="ODA"/>
      <sheetName val="CL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Civil Boq"/>
      <sheetName val="Calculations"/>
      <sheetName val="List"/>
      <sheetName val="Pre-cast"/>
      <sheetName val="ANALYSIS"/>
      <sheetName val="SPT vs PHI"/>
      <sheetName val="std.wt."/>
      <sheetName val="RA-markate"/>
      <sheetName val="Material "/>
      <sheetName val="Pur"/>
      <sheetName val="Design"/>
      <sheetName val="Pile cap"/>
      <sheetName val="Summary"/>
      <sheetName val="Chandrawal -1"/>
      <sheetName val="policies"/>
      <sheetName val="BOQ"/>
      <sheetName val="HDD"/>
      <sheetName val="Works"/>
      <sheetName val="FUSION"/>
      <sheetName val="OFC-Design"/>
      <sheetName val="PCS"/>
      <sheetName val="ETC"/>
      <sheetName val="Guide VAT_ED_Credit"/>
      <sheetName val="JTS"/>
      <sheetName val="AMC &amp; O&amp;M"/>
      <sheetName val="JTS Costing"/>
      <sheetName val="Instructions"/>
      <sheetName val="moments-table(tri)"/>
      <sheetName val="149"/>
      <sheetName val="PRECAST lightconc-II"/>
      <sheetName val="conc-foot-gradeslab"/>
      <sheetName val="floor slab-RS2"/>
      <sheetName val="THK"/>
      <sheetName val="General Summary"/>
      <sheetName val="E1"/>
      <sheetName val="Civil_Boq"/>
      <sheetName val="Civil_Boq1"/>
      <sheetName val="SPT_vs_PHI"/>
      <sheetName val="std_wt_"/>
      <sheetName val="Pile_cap"/>
      <sheetName val="Material_"/>
      <sheetName val="Chandrawal_-1"/>
      <sheetName val="Guide_VAT_ED_Credit"/>
      <sheetName val="AMC_&amp;_O&amp;M"/>
      <sheetName val="JTS_Costing"/>
      <sheetName val="BOQ_Direct_selling cost"/>
      <sheetName val="dummy"/>
      <sheetName val="switch"/>
      <sheetName val="Staff Forecast spread"/>
      <sheetName val="PIpe Pushing"/>
      <sheetName val="d-safe specs"/>
      <sheetName val="sept-plan"/>
      <sheetName val="+X &amp; -X DIR PRE"/>
      <sheetName val="RES-PLANNING"/>
      <sheetName val="Pay_Sep06"/>
      <sheetName val="Sheet4"/>
      <sheetName val="Main-Material"/>
      <sheetName val="Break up Sheet"/>
      <sheetName val="Balance sheet"/>
      <sheetName val="Footings"/>
      <sheetName val="13. Steel - Ratio"/>
      <sheetName val="girder"/>
      <sheetName val="WPR-IV"/>
      <sheetName val="Labour productivity"/>
      <sheetName val="TASKRSRC (2)"/>
      <sheetName val="TARGET"/>
      <sheetName val="BASELINE"/>
      <sheetName val="UNIT2"/>
      <sheetName val="PointNo.5"/>
      <sheetName val="Vehicles"/>
      <sheetName val="except wiring"/>
      <sheetName val="Supplier"/>
      <sheetName val="CABLE DATA"/>
      <sheetName val="organi synthesis lab"/>
      <sheetName val="INPUT SHEET"/>
      <sheetName val="Extra Item"/>
      <sheetName val="Fill this out first..."/>
      <sheetName val="Lead"/>
      <sheetName val="Labour &amp; Plant"/>
      <sheetName val="Project Budget Worksheet"/>
      <sheetName val="VCH-SLC"/>
      <sheetName val="3cd Annexure"/>
      <sheetName val="RCC,Ret. Wall"/>
      <sheetName val="MainSheet"/>
      <sheetName val="Cover sheet"/>
      <sheetName val="1.01 (a)"/>
      <sheetName val="Legal Risk Analysis"/>
      <sheetName val="GBW"/>
      <sheetName val="COLUMN"/>
      <sheetName val="Abstract Sheet"/>
      <sheetName val="shuttering"/>
      <sheetName val="FORM7"/>
      <sheetName val="2.1 受電設備棟"/>
      <sheetName val="2.2 受・防火水槽"/>
      <sheetName val="2.3 排水処理設備棟"/>
      <sheetName val="2.4 倉庫棟"/>
      <sheetName val="2.5 守衛棟"/>
      <sheetName val="DETAIL SHEET"/>
      <sheetName val="spool"/>
      <sheetName val="Notes"/>
      <sheetName val="V.O.4 - PCC Qty"/>
      <sheetName val="Field Values"/>
      <sheetName val="TBAL9697 -group wise  sdpl"/>
      <sheetName val="BOQ -II ph 2"/>
      <sheetName val="BOQ fire proofing"/>
      <sheetName val="Fin Sum"/>
      <sheetName val="Detail"/>
      <sheetName val="Sheet1"/>
      <sheetName val="T1037 Entire School"/>
      <sheetName val="d-safe DELUXE"/>
      <sheetName val="RMZ Summary"/>
      <sheetName val="Employee List"/>
      <sheetName val="Construction"/>
      <sheetName val="P&amp;L-BDMC"/>
      <sheetName val="1st and 4th flight"/>
      <sheetName val="Input"/>
      <sheetName val="STAFFSCHED "/>
      <sheetName val="p&amp;m"/>
      <sheetName val="dBase"/>
      <sheetName val="PRECAST lightconc_II"/>
      <sheetName val="LABOUR"/>
      <sheetName val="Voucher"/>
      <sheetName val="Basement Budget"/>
      <sheetName val="IO LIST"/>
      <sheetName val="Plant Cost"/>
      <sheetName val="Aseet1998"/>
      <sheetName val="PC Master List"/>
      <sheetName val="Storage"/>
      <sheetName val="foot"/>
      <sheetName val="3-3(750)"/>
      <sheetName val="Calc1"/>
      <sheetName val="RECAPITULATION"/>
      <sheetName val="cubes_M20"/>
      <sheetName val="Cal"/>
      <sheetName val="Data"/>
      <sheetName val="Boiler&amp;TG"/>
      <sheetName val="WWR"/>
      <sheetName val="Equipment"/>
      <sheetName val="AOR"/>
      <sheetName val="Costing"/>
      <sheetName val="ORDER BOOKING"/>
      <sheetName val="labour coeff"/>
      <sheetName val="Macro1"/>
      <sheetName val="10. &amp; 11. Rate Code &amp; BQ"/>
      <sheetName val="Names&amp;Cases"/>
      <sheetName val=" "/>
      <sheetName val="tower"/>
      <sheetName val="x-items"/>
      <sheetName val="BOQ_Direct_selling_cost"/>
      <sheetName val="Staff_Forecast_spread"/>
      <sheetName val="floor_slab-RS2"/>
      <sheetName val="PRECAST_lightconc-II"/>
      <sheetName val="PIpe_Pushing"/>
      <sheetName val="d-safe_specs"/>
      <sheetName val="Labour_productivity"/>
      <sheetName val="BOQ (2)"/>
      <sheetName val="main"/>
      <sheetName val="COST"/>
      <sheetName val="Site Dev BOQ"/>
      <sheetName val="Scope Reconciliation"/>
      <sheetName val="analysis-superstructure"/>
      <sheetName val="loadcal"/>
      <sheetName val="Current Bill MB ref"/>
      <sheetName val="NT LBH"/>
      <sheetName val="Site wise NADs"/>
      <sheetName val="Sheet3"/>
      <sheetName val="Sheet2"/>
      <sheetName val="LANGUAGE"/>
      <sheetName val="Desgn(zone I)"/>
      <sheetName val="Summary_Bank"/>
      <sheetName val="Non-Factory"/>
      <sheetName val="purpose&amp;input"/>
      <sheetName val="@Risk Inputs"/>
      <sheetName val="Fee Rate Summary"/>
      <sheetName val="beam-reinft"/>
      <sheetName val="Rate analysis"/>
      <sheetName val="Build-up"/>
      <sheetName val="Electrical"/>
      <sheetName val="AK-Offertstammblatt"/>
      <sheetName val="Calc_ISC"/>
      <sheetName val="Tender Summary"/>
      <sheetName val="Wire"/>
      <sheetName val="INPUT_SHEET"/>
      <sheetName val="Mat &amp; Lab Rate"/>
      <sheetName val="BOQ Distribution"/>
      <sheetName val="BOQ_SERENO"/>
      <sheetName val="T&amp;M"/>
      <sheetName val="Invoice"/>
      <sheetName val="POI_MASTER_1"/>
      <sheetName val="SC revtrgt"/>
      <sheetName val="lookups"/>
      <sheetName val="M.S."/>
      <sheetName val="Mat_Cost"/>
      <sheetName val="目录"/>
      <sheetName val="Final Summary"/>
      <sheetName val="Activity Costing Breakup"/>
      <sheetName val="Unit Rate(CIS)"/>
      <sheetName val="Conc Analysis"/>
      <sheetName val="Basic "/>
      <sheetName val="Back-UP IRA (CIS)"/>
      <sheetName val="Precast IRA"/>
      <sheetName val="Precast IRA Backup"/>
      <sheetName val="Precast RA"/>
      <sheetName val="Summary year Plan"/>
      <sheetName val="Publicbuilding"/>
      <sheetName val="Project Details.."/>
      <sheetName val="Top Line - WWW"/>
      <sheetName val="Depreciation Calc"/>
      <sheetName val="Staff Acco."/>
      <sheetName val="nglrpt042964858"/>
      <sheetName val="Trial Bal"/>
      <sheetName val="Detailed Summary (5)"/>
      <sheetName val="Block A - BOQ"/>
      <sheetName val="b.s.-p.l.-sch."/>
      <sheetName val="Factors"/>
      <sheetName val="Risk &amp; Opportunities"/>
      <sheetName val="Assumptions"/>
      <sheetName val="Calc"/>
      <sheetName val="master"/>
      <sheetName val="Chandrawal_-11"/>
      <sheetName val="Guide_VAT_ED_Credit1"/>
      <sheetName val="AMC_&amp;_O&amp;M1"/>
      <sheetName val="JTS_Costing1"/>
      <sheetName val="SPT_vs_PHI1"/>
      <sheetName val="std_wt_1"/>
      <sheetName val="Material_1"/>
      <sheetName val="Pile_cap1"/>
      <sheetName val="d-safe_specs1"/>
      <sheetName val="CABLE_DATA"/>
      <sheetName val="Section Catalogue"/>
      <sheetName val="M.R.List (2)"/>
      <sheetName val="Intro."/>
      <sheetName val="Cul_detail"/>
      <sheetName val="RA_EIL"/>
      <sheetName val="RA_MKT_QUOTE"/>
      <sheetName val="BOQ "/>
      <sheetName val="Flooring"/>
      <sheetName val="ELEC_BOQ"/>
      <sheetName val="final abstract"/>
      <sheetName val="BS Schdl- 1 &amp; 2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CFForecast detail"/>
      <sheetName val="Assmpns"/>
      <sheetName val="월선수금"/>
      <sheetName val="OHT_Abs"/>
      <sheetName val="radar"/>
      <sheetName val="E &amp; R"/>
      <sheetName val="Sheet 1"/>
      <sheetName val="CLform"/>
      <sheetName val="L3"/>
      <sheetName val="st"/>
      <sheetName val="Abstract - Single Line"/>
      <sheetName val="1_Project_Profile"/>
      <sheetName val="sq ftg detail"/>
      <sheetName val="lookup"/>
      <sheetName val="Database"/>
      <sheetName val="schedule nos"/>
      <sheetName val="FORM-W3"/>
      <sheetName val="AR"/>
      <sheetName val=" WORKING"/>
      <sheetName val="Micro"/>
      <sheetName val="Macro"/>
      <sheetName val="Scaff-Rose"/>
      <sheetName val="wordsdata"/>
      <sheetName val="HEAD"/>
      <sheetName val="mem-property"/>
      <sheetName val="Final Bill of Material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</sheetDataSet>
  </externalBook>
</externalLink>
</file>

<file path=xl/externalLinks/externalLink4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ront"/>
      <sheetName val="Notes"/>
      <sheetName val="Inputs"/>
      <sheetName val="Interim Summary"/>
      <sheetName val="Allocated Cashflow"/>
      <sheetName val="Ratios"/>
      <sheetName val="Allocation"/>
      <sheetName val="Precon Budget"/>
      <sheetName val="Summary by zone"/>
      <sheetName val="Budget Summary"/>
      <sheetName val="Cashflow"/>
      <sheetName val="Inflation"/>
      <sheetName val="Cash chart"/>
      <sheetName val="Labour resource"/>
      <sheetName val="Labour chart"/>
      <sheetName val="Exclus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 refreshError="1"/>
      <sheetData sheetId="15"/>
    </sheetDataSet>
  </externalBook>
</externalLink>
</file>

<file path=xl/externalLinks/externalLink4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BOQ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29"/>
    <col customWidth="1" min="2" max="26" width="8.71"/>
  </cols>
  <sheetData>
    <row r="3">
      <c r="B3" s="1" t="s">
        <v>0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3"/>
    </row>
    <row r="4">
      <c r="B4" s="4"/>
      <c r="C4" s="5"/>
      <c r="D4" s="6">
        <v>45444.0</v>
      </c>
      <c r="E4" s="6">
        <v>45474.0</v>
      </c>
      <c r="F4" s="6">
        <v>45505.0</v>
      </c>
      <c r="G4" s="6">
        <v>45536.0</v>
      </c>
      <c r="H4" s="6">
        <v>45566.0</v>
      </c>
      <c r="I4" s="6">
        <v>45597.0</v>
      </c>
      <c r="J4" s="6">
        <v>45627.0</v>
      </c>
      <c r="K4" s="6">
        <v>45658.0</v>
      </c>
      <c r="L4" s="6">
        <v>45689.0</v>
      </c>
      <c r="M4" s="6">
        <v>45717.0</v>
      </c>
      <c r="N4" s="6">
        <v>45748.0</v>
      </c>
      <c r="O4" s="6">
        <v>45778.0</v>
      </c>
      <c r="P4" s="6">
        <v>45809.0</v>
      </c>
      <c r="Q4" s="6">
        <v>45839.0</v>
      </c>
      <c r="R4" s="6">
        <v>45870.0</v>
      </c>
      <c r="S4" s="6">
        <v>45901.0</v>
      </c>
      <c r="T4" s="6">
        <v>45931.0</v>
      </c>
      <c r="U4" s="6">
        <v>45962.0</v>
      </c>
      <c r="V4" s="7">
        <v>45992.0</v>
      </c>
    </row>
    <row r="5">
      <c r="B5" s="8" t="s">
        <v>1</v>
      </c>
      <c r="C5" s="9" t="s">
        <v>2</v>
      </c>
      <c r="D5" s="10"/>
      <c r="E5" s="10"/>
      <c r="F5" s="10"/>
      <c r="G5" s="10"/>
      <c r="H5" s="11"/>
      <c r="I5" s="12"/>
      <c r="J5" s="13"/>
      <c r="K5" s="13"/>
      <c r="L5" s="14"/>
      <c r="M5" s="15"/>
      <c r="N5" s="16"/>
      <c r="O5" s="9"/>
      <c r="P5" s="9"/>
      <c r="Q5" s="9"/>
      <c r="R5" s="9"/>
      <c r="S5" s="9"/>
      <c r="T5" s="9"/>
      <c r="U5" s="9"/>
      <c r="V5" s="17"/>
    </row>
    <row r="6">
      <c r="B6" s="8" t="s">
        <v>3</v>
      </c>
      <c r="C6" s="9" t="s">
        <v>4</v>
      </c>
      <c r="D6" s="9"/>
      <c r="E6" s="9"/>
      <c r="F6" s="9"/>
      <c r="G6" s="9"/>
      <c r="H6" s="9"/>
      <c r="I6" s="18"/>
      <c r="J6" s="19"/>
      <c r="K6" s="19"/>
      <c r="L6" s="19"/>
      <c r="M6" s="17"/>
      <c r="N6" s="16"/>
      <c r="O6" s="9"/>
      <c r="P6" s="9"/>
      <c r="Q6" s="9"/>
      <c r="R6" s="9"/>
      <c r="S6" s="9"/>
      <c r="T6" s="9"/>
      <c r="U6" s="9"/>
      <c r="V6" s="17"/>
    </row>
    <row r="7">
      <c r="B7" s="8"/>
      <c r="C7" s="9" t="s">
        <v>5</v>
      </c>
      <c r="D7" s="9"/>
      <c r="E7" s="9"/>
      <c r="F7" s="9"/>
      <c r="G7" s="9"/>
      <c r="H7" s="9"/>
      <c r="I7" s="8"/>
      <c r="J7" s="9"/>
      <c r="K7" s="9"/>
      <c r="L7" s="9"/>
      <c r="M7" s="17"/>
      <c r="N7" s="9"/>
      <c r="O7" s="9"/>
      <c r="P7" s="9"/>
      <c r="Q7" s="9"/>
      <c r="R7" s="9"/>
      <c r="S7" s="9"/>
      <c r="T7" s="9"/>
      <c r="U7" s="9"/>
      <c r="V7" s="17"/>
    </row>
    <row r="8">
      <c r="B8" s="8" t="s">
        <v>6</v>
      </c>
      <c r="C8" s="9" t="s">
        <v>2</v>
      </c>
      <c r="D8" s="9"/>
      <c r="E8" s="10"/>
      <c r="F8" s="10"/>
      <c r="G8" s="10"/>
      <c r="H8" s="10"/>
      <c r="I8" s="20"/>
      <c r="J8" s="11"/>
      <c r="K8" s="21"/>
      <c r="L8" s="21"/>
      <c r="M8" s="22"/>
      <c r="N8" s="23"/>
      <c r="O8" s="9"/>
      <c r="P8" s="9"/>
      <c r="Q8" s="9"/>
      <c r="R8" s="9"/>
      <c r="S8" s="9"/>
      <c r="T8" s="9"/>
      <c r="U8" s="9"/>
      <c r="V8" s="17"/>
    </row>
    <row r="9">
      <c r="B9" s="8" t="s">
        <v>3</v>
      </c>
      <c r="C9" s="9" t="s">
        <v>4</v>
      </c>
      <c r="D9" s="9"/>
      <c r="E9" s="9"/>
      <c r="F9" s="9"/>
      <c r="G9" s="9"/>
      <c r="H9" s="9"/>
      <c r="I9" s="8"/>
      <c r="J9" s="19"/>
      <c r="K9" s="19"/>
      <c r="L9" s="19"/>
      <c r="M9" s="24"/>
      <c r="N9" s="16"/>
      <c r="O9" s="9"/>
      <c r="P9" s="9"/>
      <c r="Q9" s="9"/>
      <c r="R9" s="9"/>
      <c r="S9" s="9"/>
      <c r="T9" s="9"/>
      <c r="U9" s="9"/>
      <c r="V9" s="17"/>
    </row>
    <row r="10">
      <c r="B10" s="8"/>
      <c r="C10" s="9" t="s">
        <v>5</v>
      </c>
      <c r="D10" s="9"/>
      <c r="E10" s="9"/>
      <c r="F10" s="9"/>
      <c r="G10" s="9"/>
      <c r="H10" s="9"/>
      <c r="I10" s="8"/>
      <c r="J10" s="9"/>
      <c r="K10" s="9"/>
      <c r="L10" s="9"/>
      <c r="M10" s="17"/>
      <c r="N10" s="9"/>
      <c r="O10" s="9"/>
      <c r="P10" s="9"/>
      <c r="Q10" s="9"/>
      <c r="R10" s="9"/>
      <c r="S10" s="9"/>
      <c r="T10" s="9"/>
      <c r="U10" s="9"/>
      <c r="V10" s="17"/>
    </row>
    <row r="11">
      <c r="B11" s="8" t="s">
        <v>7</v>
      </c>
      <c r="C11" s="9" t="s">
        <v>2</v>
      </c>
      <c r="D11" s="9"/>
      <c r="E11" s="9"/>
      <c r="F11" s="10"/>
      <c r="G11" s="10"/>
      <c r="H11" s="10"/>
      <c r="I11" s="25"/>
      <c r="J11" s="11"/>
      <c r="K11" s="11"/>
      <c r="L11" s="21"/>
      <c r="M11" s="26"/>
      <c r="N11" s="23"/>
      <c r="O11" s="23"/>
      <c r="P11" s="9"/>
      <c r="Q11" s="9"/>
      <c r="R11" s="9"/>
      <c r="S11" s="9"/>
      <c r="T11" s="9"/>
      <c r="U11" s="9"/>
      <c r="V11" s="17"/>
    </row>
    <row r="12">
      <c r="B12" s="8" t="s">
        <v>3</v>
      </c>
      <c r="C12" s="9" t="s">
        <v>4</v>
      </c>
      <c r="D12" s="9"/>
      <c r="E12" s="9"/>
      <c r="F12" s="9"/>
      <c r="G12" s="9"/>
      <c r="H12" s="9"/>
      <c r="I12" s="8"/>
      <c r="J12" s="9"/>
      <c r="K12" s="19"/>
      <c r="L12" s="19"/>
      <c r="M12" s="24"/>
      <c r="N12" s="19"/>
      <c r="O12" s="9"/>
      <c r="P12" s="9"/>
      <c r="Q12" s="9"/>
      <c r="R12" s="9"/>
      <c r="S12" s="9"/>
      <c r="T12" s="9"/>
      <c r="U12" s="9"/>
      <c r="V12" s="17"/>
    </row>
    <row r="13">
      <c r="B13" s="8"/>
      <c r="C13" s="9" t="s">
        <v>5</v>
      </c>
      <c r="D13" s="9"/>
      <c r="E13" s="9"/>
      <c r="F13" s="9"/>
      <c r="G13" s="9"/>
      <c r="H13" s="9"/>
      <c r="I13" s="8"/>
      <c r="J13" s="9"/>
      <c r="K13" s="9"/>
      <c r="L13" s="9"/>
      <c r="M13" s="17"/>
      <c r="N13" s="9"/>
      <c r="O13" s="9"/>
      <c r="P13" s="9"/>
      <c r="Q13" s="9"/>
      <c r="R13" s="9"/>
      <c r="S13" s="9"/>
      <c r="T13" s="9"/>
      <c r="U13" s="9"/>
      <c r="V13" s="17"/>
    </row>
    <row r="14">
      <c r="B14" s="8" t="s">
        <v>8</v>
      </c>
      <c r="C14" s="9" t="s">
        <v>2</v>
      </c>
      <c r="D14" s="9"/>
      <c r="E14" s="9"/>
      <c r="F14" s="9"/>
      <c r="G14" s="10"/>
      <c r="H14" s="10"/>
      <c r="I14" s="25"/>
      <c r="J14" s="10"/>
      <c r="K14" s="11"/>
      <c r="L14" s="11"/>
      <c r="M14" s="26"/>
      <c r="N14" s="21"/>
      <c r="O14" s="23"/>
      <c r="P14" s="23"/>
      <c r="Q14" s="9"/>
      <c r="R14" s="9"/>
      <c r="S14" s="9"/>
      <c r="T14" s="9"/>
      <c r="U14" s="9"/>
      <c r="V14" s="17"/>
    </row>
    <row r="15">
      <c r="B15" s="8" t="s">
        <v>3</v>
      </c>
      <c r="C15" s="9" t="s">
        <v>4</v>
      </c>
      <c r="D15" s="9"/>
      <c r="E15" s="9"/>
      <c r="F15" s="9"/>
      <c r="G15" s="9"/>
      <c r="H15" s="9"/>
      <c r="I15" s="8"/>
      <c r="J15" s="9"/>
      <c r="K15" s="9"/>
      <c r="L15" s="19"/>
      <c r="M15" s="24"/>
      <c r="N15" s="19"/>
      <c r="O15" s="19"/>
      <c r="P15" s="9"/>
      <c r="Q15" s="9"/>
      <c r="R15" s="9"/>
      <c r="S15" s="9"/>
      <c r="T15" s="9"/>
      <c r="U15" s="9"/>
      <c r="V15" s="17"/>
    </row>
    <row r="16">
      <c r="B16" s="8"/>
      <c r="C16" s="9" t="s">
        <v>5</v>
      </c>
      <c r="D16" s="9"/>
      <c r="E16" s="9"/>
      <c r="F16" s="9"/>
      <c r="G16" s="9"/>
      <c r="H16" s="9"/>
      <c r="I16" s="8"/>
      <c r="J16" s="9"/>
      <c r="K16" s="9"/>
      <c r="L16" s="9"/>
      <c r="M16" s="17"/>
      <c r="N16" s="9"/>
      <c r="O16" s="9"/>
      <c r="P16" s="9"/>
      <c r="Q16" s="9"/>
      <c r="R16" s="9"/>
      <c r="S16" s="9"/>
      <c r="T16" s="9"/>
      <c r="U16" s="9"/>
      <c r="V16" s="17"/>
    </row>
    <row r="17">
      <c r="B17" s="8" t="s">
        <v>9</v>
      </c>
      <c r="C17" s="9" t="s">
        <v>2</v>
      </c>
      <c r="D17" s="9"/>
      <c r="E17" s="9"/>
      <c r="F17" s="9"/>
      <c r="G17" s="9"/>
      <c r="H17" s="10"/>
      <c r="I17" s="25"/>
      <c r="J17" s="10"/>
      <c r="K17" s="10"/>
      <c r="L17" s="11"/>
      <c r="M17" s="27"/>
      <c r="N17" s="21"/>
      <c r="O17" s="21"/>
      <c r="P17" s="23"/>
      <c r="Q17" s="23"/>
      <c r="R17" s="9"/>
      <c r="S17" s="9"/>
      <c r="T17" s="9"/>
      <c r="U17" s="9"/>
      <c r="V17" s="17"/>
    </row>
    <row r="18">
      <c r="B18" s="8" t="s">
        <v>3</v>
      </c>
      <c r="C18" s="9" t="s">
        <v>4</v>
      </c>
      <c r="D18" s="9"/>
      <c r="E18" s="9"/>
      <c r="F18" s="9"/>
      <c r="G18" s="9"/>
      <c r="H18" s="9"/>
      <c r="I18" s="8"/>
      <c r="J18" s="9"/>
      <c r="K18" s="9"/>
      <c r="L18" s="9"/>
      <c r="M18" s="24"/>
      <c r="N18" s="19"/>
      <c r="O18" s="19"/>
      <c r="P18" s="19"/>
      <c r="Q18" s="9"/>
      <c r="R18" s="9"/>
      <c r="S18" s="9"/>
      <c r="T18" s="9"/>
      <c r="U18" s="9"/>
      <c r="V18" s="17"/>
    </row>
    <row r="19">
      <c r="B19" s="8"/>
      <c r="C19" s="9" t="s">
        <v>5</v>
      </c>
      <c r="D19" s="9"/>
      <c r="E19" s="9"/>
      <c r="F19" s="9"/>
      <c r="G19" s="9"/>
      <c r="H19" s="9"/>
      <c r="I19" s="8"/>
      <c r="J19" s="9"/>
      <c r="K19" s="9"/>
      <c r="L19" s="9"/>
      <c r="M19" s="17"/>
      <c r="N19" s="9"/>
      <c r="O19" s="9"/>
      <c r="P19" s="9"/>
      <c r="Q19" s="9"/>
      <c r="R19" s="9"/>
      <c r="S19" s="9"/>
      <c r="T19" s="9"/>
      <c r="U19" s="9"/>
      <c r="V19" s="17"/>
    </row>
    <row r="20">
      <c r="B20" s="8" t="s">
        <v>10</v>
      </c>
      <c r="C20" s="9" t="s">
        <v>2</v>
      </c>
      <c r="D20" s="9"/>
      <c r="E20" s="9"/>
      <c r="F20" s="9"/>
      <c r="G20" s="9"/>
      <c r="H20" s="9"/>
      <c r="I20" s="25"/>
      <c r="J20" s="10"/>
      <c r="K20" s="10"/>
      <c r="L20" s="10"/>
      <c r="M20" s="27"/>
      <c r="N20" s="11"/>
      <c r="O20" s="21"/>
      <c r="P20" s="21"/>
      <c r="Q20" s="23"/>
      <c r="R20" s="23"/>
      <c r="S20" s="9"/>
      <c r="T20" s="9"/>
      <c r="U20" s="9"/>
      <c r="V20" s="17"/>
    </row>
    <row r="21" ht="15.75" customHeight="1">
      <c r="B21" s="8" t="s">
        <v>3</v>
      </c>
      <c r="C21" s="9" t="s">
        <v>4</v>
      </c>
      <c r="D21" s="9"/>
      <c r="E21" s="9"/>
      <c r="F21" s="9"/>
      <c r="G21" s="9"/>
      <c r="H21" s="9"/>
      <c r="I21" s="8"/>
      <c r="J21" s="9"/>
      <c r="K21" s="9"/>
      <c r="L21" s="9"/>
      <c r="M21" s="17"/>
      <c r="N21" s="19"/>
      <c r="O21" s="19"/>
      <c r="P21" s="19"/>
      <c r="Q21" s="19"/>
      <c r="R21" s="9"/>
      <c r="S21" s="9"/>
      <c r="T21" s="9"/>
      <c r="U21" s="9"/>
      <c r="V21" s="17"/>
    </row>
    <row r="22" ht="15.75" customHeight="1">
      <c r="B22" s="8"/>
      <c r="C22" s="9" t="s">
        <v>5</v>
      </c>
      <c r="D22" s="9"/>
      <c r="E22" s="9"/>
      <c r="F22" s="9"/>
      <c r="G22" s="9"/>
      <c r="H22" s="9"/>
      <c r="I22" s="8"/>
      <c r="J22" s="9"/>
      <c r="K22" s="9"/>
      <c r="L22" s="9"/>
      <c r="M22" s="17"/>
      <c r="N22" s="9"/>
      <c r="O22" s="9"/>
      <c r="P22" s="9"/>
      <c r="Q22" s="9"/>
      <c r="R22" s="9"/>
      <c r="S22" s="9"/>
      <c r="T22" s="9"/>
      <c r="U22" s="9"/>
      <c r="V22" s="17"/>
    </row>
    <row r="23" ht="15.75" customHeight="1">
      <c r="B23" s="8" t="s">
        <v>11</v>
      </c>
      <c r="C23" s="9" t="s">
        <v>2</v>
      </c>
      <c r="D23" s="10"/>
      <c r="E23" s="10"/>
      <c r="F23" s="10"/>
      <c r="G23" s="10"/>
      <c r="H23" s="11"/>
      <c r="I23" s="20"/>
      <c r="J23" s="21"/>
      <c r="K23" s="21"/>
      <c r="L23" s="23"/>
      <c r="M23" s="22"/>
      <c r="N23" s="9"/>
      <c r="O23" s="9"/>
      <c r="P23" s="9"/>
      <c r="Q23" s="9"/>
      <c r="R23" s="9"/>
      <c r="S23" s="9"/>
      <c r="T23" s="9"/>
      <c r="U23" s="9"/>
      <c r="V23" s="17"/>
    </row>
    <row r="24" ht="15.75" customHeight="1">
      <c r="B24" s="8" t="s">
        <v>3</v>
      </c>
      <c r="C24" s="9" t="s">
        <v>4</v>
      </c>
      <c r="D24" s="9"/>
      <c r="E24" s="9"/>
      <c r="F24" s="9"/>
      <c r="G24" s="9"/>
      <c r="H24" s="9"/>
      <c r="I24" s="18"/>
      <c r="J24" s="19"/>
      <c r="K24" s="19"/>
      <c r="L24" s="19"/>
      <c r="M24" s="17"/>
      <c r="N24" s="9"/>
      <c r="O24" s="9"/>
      <c r="P24" s="9"/>
      <c r="Q24" s="9"/>
      <c r="R24" s="9"/>
      <c r="S24" s="9"/>
      <c r="T24" s="9"/>
      <c r="U24" s="9"/>
      <c r="V24" s="17"/>
    </row>
    <row r="25" ht="15.75" customHeight="1">
      <c r="B25" s="8"/>
      <c r="C25" s="9" t="s">
        <v>5</v>
      </c>
      <c r="D25" s="9"/>
      <c r="E25" s="9"/>
      <c r="F25" s="9"/>
      <c r="G25" s="9"/>
      <c r="H25" s="9"/>
      <c r="I25" s="8"/>
      <c r="J25" s="9"/>
      <c r="K25" s="9"/>
      <c r="L25" s="9"/>
      <c r="M25" s="17"/>
      <c r="N25" s="9"/>
      <c r="O25" s="9"/>
      <c r="P25" s="9"/>
      <c r="Q25" s="9"/>
      <c r="R25" s="9"/>
      <c r="S25" s="9"/>
      <c r="T25" s="9"/>
      <c r="U25" s="9"/>
      <c r="V25" s="17"/>
    </row>
    <row r="26" ht="15.75" customHeight="1">
      <c r="B26" s="8" t="s">
        <v>12</v>
      </c>
      <c r="C26" s="9" t="s">
        <v>2</v>
      </c>
      <c r="D26" s="10"/>
      <c r="E26" s="10"/>
      <c r="F26" s="10"/>
      <c r="G26" s="10"/>
      <c r="H26" s="11"/>
      <c r="I26" s="20"/>
      <c r="J26" s="21"/>
      <c r="K26" s="21"/>
      <c r="L26" s="23"/>
      <c r="M26" s="22"/>
      <c r="N26" s="9"/>
      <c r="O26" s="9"/>
      <c r="P26" s="9"/>
      <c r="Q26" s="9"/>
      <c r="R26" s="9"/>
      <c r="S26" s="9"/>
      <c r="T26" s="9"/>
      <c r="U26" s="9"/>
      <c r="V26" s="17"/>
    </row>
    <row r="27" ht="15.75" customHeight="1">
      <c r="B27" s="8" t="s">
        <v>3</v>
      </c>
      <c r="C27" s="9" t="s">
        <v>4</v>
      </c>
      <c r="D27" s="9"/>
      <c r="E27" s="9"/>
      <c r="F27" s="9"/>
      <c r="G27" s="9"/>
      <c r="H27" s="9"/>
      <c r="I27" s="28"/>
      <c r="J27" s="29"/>
      <c r="K27" s="29"/>
      <c r="L27" s="29"/>
      <c r="M27" s="30"/>
      <c r="N27" s="9"/>
      <c r="O27" s="9"/>
      <c r="P27" s="9"/>
      <c r="Q27" s="9"/>
      <c r="R27" s="9"/>
      <c r="S27" s="9"/>
      <c r="T27" s="9"/>
      <c r="U27" s="9"/>
      <c r="V27" s="17"/>
    </row>
    <row r="28" ht="15.75" customHeight="1">
      <c r="B28" s="8"/>
      <c r="C28" s="9" t="s">
        <v>5</v>
      </c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17"/>
    </row>
    <row r="29" ht="15.75" customHeight="1">
      <c r="B29" s="25"/>
      <c r="C29" s="9" t="s">
        <v>13</v>
      </c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17"/>
    </row>
    <row r="30" ht="15.75" customHeight="1">
      <c r="B30" s="20"/>
      <c r="C30" s="9" t="s">
        <v>14</v>
      </c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17"/>
    </row>
    <row r="31" ht="15.75" customHeight="1">
      <c r="B31" s="31"/>
      <c r="C31" s="9" t="s">
        <v>15</v>
      </c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17"/>
    </row>
    <row r="32" ht="15.75" customHeight="1">
      <c r="B32" s="32"/>
      <c r="C32" s="9" t="s">
        <v>16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17"/>
    </row>
    <row r="33" ht="15.75" customHeight="1">
      <c r="B33" s="28"/>
      <c r="C33" s="33" t="s">
        <v>4</v>
      </c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0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3:V3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 outlineLevelCol="1" outlineLevelRow="1"/>
  <cols>
    <col customWidth="1" min="1" max="1" width="3.71"/>
    <col customWidth="1" min="2" max="2" width="59.0"/>
    <col customWidth="1" min="3" max="3" width="10.71"/>
    <col customWidth="1" hidden="1" min="4" max="4" width="14.86" outlineLevel="1"/>
    <col collapsed="1" customWidth="1" min="5" max="5" width="19.29"/>
    <col customWidth="1" min="6" max="6" width="19.29"/>
    <col customWidth="1" min="7" max="7" width="12.14"/>
    <col customWidth="1" hidden="1" min="8" max="8" width="12.14" outlineLevel="1"/>
    <col customWidth="1" min="9" max="10" width="19.29"/>
    <col customWidth="1" min="11" max="11" width="3.71"/>
    <col customWidth="1" min="12" max="12" width="10.71"/>
    <col customWidth="1" hidden="1" min="13" max="13" width="14.86" outlineLevel="1"/>
    <col customWidth="1" min="14" max="15" width="19.29"/>
    <col customWidth="1" min="16" max="16" width="12.14"/>
    <col customWidth="1" hidden="1" min="17" max="17" width="12.14" outlineLevel="1"/>
    <col customWidth="1" min="18" max="19" width="19.29"/>
    <col customWidth="1" min="20" max="20" width="3.71"/>
    <col customWidth="1" min="21" max="21" width="10.71"/>
    <col customWidth="1" min="22" max="22" width="14.86" outlineLevel="1"/>
    <col customWidth="1" min="23" max="24" width="19.29"/>
    <col customWidth="1" min="25" max="25" width="12.14"/>
    <col customWidth="1" min="26" max="26" width="12.14" outlineLevel="1"/>
    <col customWidth="1" min="27" max="28" width="19.29"/>
    <col customWidth="1" min="29" max="30" width="3.71"/>
    <col customWidth="1" min="31" max="31" width="10.71"/>
    <col customWidth="1" hidden="1" min="32" max="32" width="14.86" outlineLevel="1"/>
    <col customWidth="1" min="33" max="34" width="19.29"/>
    <col customWidth="1" min="35" max="35" width="12.14"/>
    <col customWidth="1" hidden="1" min="36" max="36" width="12.14" outlineLevel="1"/>
    <col customWidth="1" min="37" max="38" width="19.29"/>
    <col customWidth="1" min="39" max="39" width="3.71"/>
    <col customWidth="1" min="40" max="40" width="10.71"/>
    <col customWidth="1" hidden="1" min="41" max="41" width="14.86" outlineLevel="1"/>
    <col customWidth="1" min="42" max="43" width="19.29"/>
    <col customWidth="1" min="44" max="44" width="12.14"/>
    <col customWidth="1" hidden="1" min="45" max="45" width="12.14" outlineLevel="1"/>
    <col customWidth="1" min="46" max="47" width="19.29"/>
    <col customWidth="1" min="48" max="49" width="3.71"/>
    <col customWidth="1" min="50" max="50" width="10.71"/>
    <col customWidth="1" min="51" max="51" width="14.86" outlineLevel="1"/>
    <col customWidth="1" min="52" max="53" width="19.29"/>
    <col customWidth="1" min="54" max="54" width="12.14"/>
    <col customWidth="1" min="55" max="55" width="12.14" outlineLevel="1"/>
    <col customWidth="1" min="56" max="57" width="19.29"/>
    <col customWidth="1" min="58" max="58" width="3.71"/>
    <col customWidth="1" min="59" max="59" width="8.71"/>
  </cols>
  <sheetData>
    <row r="1" ht="17.25" customHeight="1">
      <c r="A1" s="34"/>
      <c r="B1" s="35" t="s">
        <v>17</v>
      </c>
      <c r="C1" s="36" t="s">
        <v>18</v>
      </c>
      <c r="D1" s="37"/>
      <c r="E1" s="37"/>
      <c r="F1" s="37"/>
      <c r="G1" s="37"/>
      <c r="H1" s="37"/>
      <c r="I1" s="37"/>
      <c r="J1" s="38"/>
      <c r="K1" s="39"/>
      <c r="L1" s="36" t="s">
        <v>18</v>
      </c>
      <c r="M1" s="37"/>
      <c r="N1" s="37"/>
      <c r="O1" s="37"/>
      <c r="P1" s="37"/>
      <c r="Q1" s="37"/>
      <c r="R1" s="37"/>
      <c r="S1" s="38"/>
      <c r="T1" s="39"/>
      <c r="U1" s="36" t="s">
        <v>18</v>
      </c>
      <c r="V1" s="37"/>
      <c r="W1" s="37"/>
      <c r="X1" s="37"/>
      <c r="Y1" s="37"/>
      <c r="Z1" s="37"/>
      <c r="AA1" s="37"/>
      <c r="AB1" s="38"/>
      <c r="AC1" s="39"/>
      <c r="AD1" s="39"/>
      <c r="AE1" s="36" t="s">
        <v>18</v>
      </c>
      <c r="AF1" s="37"/>
      <c r="AG1" s="37"/>
      <c r="AH1" s="37"/>
      <c r="AI1" s="37"/>
      <c r="AJ1" s="37"/>
      <c r="AK1" s="37"/>
      <c r="AL1" s="38"/>
      <c r="AM1" s="39"/>
      <c r="AN1" s="36" t="s">
        <v>18</v>
      </c>
      <c r="AO1" s="37"/>
      <c r="AP1" s="37"/>
      <c r="AQ1" s="37"/>
      <c r="AR1" s="37"/>
      <c r="AS1" s="37"/>
      <c r="AT1" s="37"/>
      <c r="AU1" s="38"/>
      <c r="AV1" s="39"/>
      <c r="AW1" s="39"/>
      <c r="AX1" s="36" t="s">
        <v>18</v>
      </c>
      <c r="AY1" s="37"/>
      <c r="AZ1" s="37"/>
      <c r="BA1" s="37"/>
      <c r="BB1" s="37"/>
      <c r="BC1" s="37"/>
      <c r="BD1" s="37"/>
      <c r="BE1" s="38"/>
      <c r="BF1" s="39"/>
      <c r="BG1" s="40"/>
    </row>
    <row r="2" ht="17.25" customHeight="1">
      <c r="A2" s="41"/>
      <c r="B2" s="42" t="s">
        <v>19</v>
      </c>
      <c r="C2" s="36" t="s">
        <v>20</v>
      </c>
      <c r="D2" s="37"/>
      <c r="E2" s="37"/>
      <c r="F2" s="43"/>
      <c r="G2" s="36" t="s">
        <v>21</v>
      </c>
      <c r="H2" s="37"/>
      <c r="I2" s="37"/>
      <c r="J2" s="43"/>
      <c r="K2" s="44"/>
      <c r="L2" s="36" t="s">
        <v>20</v>
      </c>
      <c r="M2" s="37"/>
      <c r="N2" s="37"/>
      <c r="O2" s="43"/>
      <c r="P2" s="36" t="s">
        <v>21</v>
      </c>
      <c r="Q2" s="37"/>
      <c r="R2" s="37"/>
      <c r="S2" s="43"/>
      <c r="T2" s="44"/>
      <c r="U2" s="36" t="s">
        <v>20</v>
      </c>
      <c r="V2" s="37"/>
      <c r="W2" s="37"/>
      <c r="X2" s="43"/>
      <c r="Y2" s="36" t="s">
        <v>21</v>
      </c>
      <c r="Z2" s="37"/>
      <c r="AA2" s="37"/>
      <c r="AB2" s="43"/>
      <c r="AC2" s="44"/>
      <c r="AD2" s="44"/>
      <c r="AE2" s="36" t="s">
        <v>20</v>
      </c>
      <c r="AF2" s="37"/>
      <c r="AG2" s="37"/>
      <c r="AH2" s="43"/>
      <c r="AI2" s="36" t="s">
        <v>21</v>
      </c>
      <c r="AJ2" s="37"/>
      <c r="AK2" s="37"/>
      <c r="AL2" s="43"/>
      <c r="AM2" s="44"/>
      <c r="AN2" s="36" t="s">
        <v>20</v>
      </c>
      <c r="AO2" s="37"/>
      <c r="AP2" s="37"/>
      <c r="AQ2" s="43"/>
      <c r="AR2" s="36" t="s">
        <v>21</v>
      </c>
      <c r="AS2" s="37"/>
      <c r="AT2" s="37"/>
      <c r="AU2" s="43"/>
      <c r="AV2" s="44"/>
      <c r="AW2" s="44"/>
      <c r="AX2" s="36" t="s">
        <v>20</v>
      </c>
      <c r="AY2" s="37"/>
      <c r="AZ2" s="37"/>
      <c r="BA2" s="43"/>
      <c r="BB2" s="36" t="s">
        <v>21</v>
      </c>
      <c r="BC2" s="37"/>
      <c r="BD2" s="37"/>
      <c r="BE2" s="43"/>
      <c r="BF2" s="44"/>
      <c r="BG2" s="45"/>
    </row>
    <row r="3" ht="17.25" customHeight="1">
      <c r="A3" s="41"/>
      <c r="B3" s="46" t="s">
        <v>22</v>
      </c>
      <c r="C3" s="47" t="s">
        <v>23</v>
      </c>
      <c r="D3" s="48" t="s">
        <v>24</v>
      </c>
      <c r="E3" s="49" t="s">
        <v>25</v>
      </c>
      <c r="F3" s="49" t="s">
        <v>26</v>
      </c>
      <c r="G3" s="50" t="str">
        <f>C3</f>
        <v>As per Policy 
(no of weeks from Concept </v>
      </c>
      <c r="H3" s="51" t="s">
        <v>24</v>
      </c>
      <c r="I3" s="52" t="str">
        <f t="shared" ref="I3:J3" si="1">E3</f>
        <v>As Per Policy</v>
      </c>
      <c r="J3" s="52" t="str">
        <f t="shared" si="1"/>
        <v>Actual Expected</v>
      </c>
      <c r="K3" s="44"/>
      <c r="L3" s="47" t="s">
        <v>23</v>
      </c>
      <c r="M3" s="48" t="s">
        <v>24</v>
      </c>
      <c r="N3" s="49" t="s">
        <v>25</v>
      </c>
      <c r="O3" s="49" t="s">
        <v>26</v>
      </c>
      <c r="P3" s="50" t="str">
        <f>L3</f>
        <v>As per Policy 
(no of weeks from Concept </v>
      </c>
      <c r="Q3" s="51" t="s">
        <v>24</v>
      </c>
      <c r="R3" s="52" t="str">
        <f t="shared" ref="R3:S3" si="2">N3</f>
        <v>As Per Policy</v>
      </c>
      <c r="S3" s="52" t="str">
        <f t="shared" si="2"/>
        <v>Actual Expected</v>
      </c>
      <c r="T3" s="44"/>
      <c r="U3" s="47" t="s">
        <v>23</v>
      </c>
      <c r="V3" s="48" t="s">
        <v>24</v>
      </c>
      <c r="W3" s="49" t="s">
        <v>25</v>
      </c>
      <c r="X3" s="49" t="s">
        <v>26</v>
      </c>
      <c r="Y3" s="50" t="str">
        <f>U3</f>
        <v>As per Policy 
(no of weeks from Concept </v>
      </c>
      <c r="Z3" s="51" t="s">
        <v>24</v>
      </c>
      <c r="AA3" s="52" t="str">
        <f t="shared" ref="AA3:AB3" si="3">W3</f>
        <v>As Per Policy</v>
      </c>
      <c r="AB3" s="52" t="str">
        <f t="shared" si="3"/>
        <v>Actual Expected</v>
      </c>
      <c r="AC3" s="44"/>
      <c r="AD3" s="44"/>
      <c r="AE3" s="47" t="s">
        <v>23</v>
      </c>
      <c r="AF3" s="48" t="s">
        <v>24</v>
      </c>
      <c r="AG3" s="49" t="s">
        <v>25</v>
      </c>
      <c r="AH3" s="49" t="s">
        <v>26</v>
      </c>
      <c r="AI3" s="50" t="str">
        <f>AE3</f>
        <v>As per Policy 
(no of weeks from Concept </v>
      </c>
      <c r="AJ3" s="51" t="s">
        <v>24</v>
      </c>
      <c r="AK3" s="52" t="str">
        <f t="shared" ref="AK3:AL3" si="4">AG3</f>
        <v>As Per Policy</v>
      </c>
      <c r="AL3" s="52" t="str">
        <f t="shared" si="4"/>
        <v>Actual Expected</v>
      </c>
      <c r="AM3" s="44"/>
      <c r="AN3" s="47" t="s">
        <v>23</v>
      </c>
      <c r="AO3" s="48" t="s">
        <v>24</v>
      </c>
      <c r="AP3" s="49" t="s">
        <v>25</v>
      </c>
      <c r="AQ3" s="49" t="s">
        <v>26</v>
      </c>
      <c r="AR3" s="50" t="str">
        <f>AN3</f>
        <v>As per Policy 
(no of weeks from Concept </v>
      </c>
      <c r="AS3" s="51" t="s">
        <v>24</v>
      </c>
      <c r="AT3" s="52" t="str">
        <f t="shared" ref="AT3:AU3" si="5">AP3</f>
        <v>As Per Policy</v>
      </c>
      <c r="AU3" s="52" t="str">
        <f t="shared" si="5"/>
        <v>Actual Expected</v>
      </c>
      <c r="AV3" s="44"/>
      <c r="AW3" s="44"/>
      <c r="AX3" s="47" t="s">
        <v>23</v>
      </c>
      <c r="AY3" s="48" t="s">
        <v>24</v>
      </c>
      <c r="AZ3" s="49" t="s">
        <v>25</v>
      </c>
      <c r="BA3" s="49" t="s">
        <v>26</v>
      </c>
      <c r="BB3" s="50" t="str">
        <f>AX3</f>
        <v>As per Policy 
(no of weeks from Concept </v>
      </c>
      <c r="BC3" s="51" t="s">
        <v>24</v>
      </c>
      <c r="BD3" s="52" t="str">
        <f t="shared" ref="BD3:BE3" si="6">AZ3</f>
        <v>As Per Policy</v>
      </c>
      <c r="BE3" s="52" t="str">
        <f t="shared" si="6"/>
        <v>Actual Expected</v>
      </c>
      <c r="BF3" s="44"/>
      <c r="BG3" s="53" t="s">
        <v>27</v>
      </c>
    </row>
    <row r="4" ht="17.25" customHeight="1">
      <c r="A4" s="41"/>
      <c r="B4" s="46" t="s">
        <v>28</v>
      </c>
      <c r="C4" s="54"/>
      <c r="D4" s="54"/>
      <c r="E4" s="49" t="s">
        <v>29</v>
      </c>
      <c r="F4" s="49" t="s">
        <v>29</v>
      </c>
      <c r="G4" s="54"/>
      <c r="H4" s="55"/>
      <c r="I4" s="52" t="str">
        <f t="shared" ref="I4:J4" si="7">E4</f>
        <v>For sale</v>
      </c>
      <c r="J4" s="52" t="str">
        <f t="shared" si="7"/>
        <v>For sale</v>
      </c>
      <c r="K4" s="44"/>
      <c r="L4" s="54"/>
      <c r="M4" s="54"/>
      <c r="N4" s="49" t="s">
        <v>29</v>
      </c>
      <c r="O4" s="49" t="s">
        <v>29</v>
      </c>
      <c r="P4" s="54"/>
      <c r="Q4" s="55"/>
      <c r="R4" s="52" t="str">
        <f t="shared" ref="R4:S4" si="8">N4</f>
        <v>For sale</v>
      </c>
      <c r="S4" s="52" t="str">
        <f t="shared" si="8"/>
        <v>For sale</v>
      </c>
      <c r="T4" s="44"/>
      <c r="U4" s="54"/>
      <c r="V4" s="54"/>
      <c r="W4" s="49" t="s">
        <v>29</v>
      </c>
      <c r="X4" s="49" t="s">
        <v>29</v>
      </c>
      <c r="Y4" s="54"/>
      <c r="Z4" s="55"/>
      <c r="AA4" s="52" t="str">
        <f t="shared" ref="AA4:AB4" si="9">W4</f>
        <v>For sale</v>
      </c>
      <c r="AB4" s="52" t="str">
        <f t="shared" si="9"/>
        <v>For sale</v>
      </c>
      <c r="AC4" s="44"/>
      <c r="AD4" s="44"/>
      <c r="AE4" s="54"/>
      <c r="AF4" s="54"/>
      <c r="AG4" s="49" t="s">
        <v>29</v>
      </c>
      <c r="AH4" s="49" t="s">
        <v>29</v>
      </c>
      <c r="AI4" s="54"/>
      <c r="AJ4" s="55"/>
      <c r="AK4" s="52" t="str">
        <f t="shared" ref="AK4:AL4" si="10">AG4</f>
        <v>For sale</v>
      </c>
      <c r="AL4" s="52" t="str">
        <f t="shared" si="10"/>
        <v>For sale</v>
      </c>
      <c r="AM4" s="44"/>
      <c r="AN4" s="54"/>
      <c r="AO4" s="54"/>
      <c r="AP4" s="49" t="s">
        <v>29</v>
      </c>
      <c r="AQ4" s="49" t="s">
        <v>29</v>
      </c>
      <c r="AR4" s="54"/>
      <c r="AS4" s="55"/>
      <c r="AT4" s="52" t="str">
        <f t="shared" ref="AT4:AU4" si="11">AP4</f>
        <v>For sale</v>
      </c>
      <c r="AU4" s="52" t="str">
        <f t="shared" si="11"/>
        <v>For sale</v>
      </c>
      <c r="AV4" s="44"/>
      <c r="AW4" s="44"/>
      <c r="AX4" s="54"/>
      <c r="AY4" s="54"/>
      <c r="AZ4" s="49" t="s">
        <v>29</v>
      </c>
      <c r="BA4" s="49" t="s">
        <v>29</v>
      </c>
      <c r="BB4" s="54"/>
      <c r="BC4" s="55"/>
      <c r="BD4" s="52" t="str">
        <f t="shared" ref="BD4:BE4" si="12">AZ4</f>
        <v>For sale</v>
      </c>
      <c r="BE4" s="52" t="str">
        <f t="shared" si="12"/>
        <v>For sale</v>
      </c>
      <c r="BF4" s="44"/>
      <c r="BG4" s="56"/>
    </row>
    <row r="5" ht="36.0" customHeight="1">
      <c r="A5" s="41"/>
      <c r="B5" s="57" t="s">
        <v>30</v>
      </c>
      <c r="C5" s="54"/>
      <c r="D5" s="54"/>
      <c r="E5" s="58" t="s">
        <v>31</v>
      </c>
      <c r="F5" s="58" t="s">
        <v>31</v>
      </c>
      <c r="G5" s="54"/>
      <c r="H5" s="55"/>
      <c r="I5" s="58" t="s">
        <v>31</v>
      </c>
      <c r="J5" s="58" t="s">
        <v>31</v>
      </c>
      <c r="K5" s="44"/>
      <c r="L5" s="54"/>
      <c r="M5" s="54"/>
      <c r="N5" s="58" t="s">
        <v>32</v>
      </c>
      <c r="O5" s="58" t="s">
        <v>32</v>
      </c>
      <c r="P5" s="54"/>
      <c r="Q5" s="55"/>
      <c r="R5" s="58" t="s">
        <v>32</v>
      </c>
      <c r="S5" s="58" t="s">
        <v>32</v>
      </c>
      <c r="T5" s="44"/>
      <c r="U5" s="54"/>
      <c r="V5" s="54"/>
      <c r="W5" s="58" t="s">
        <v>33</v>
      </c>
      <c r="X5" s="58" t="s">
        <v>33</v>
      </c>
      <c r="Y5" s="54"/>
      <c r="Z5" s="55"/>
      <c r="AA5" s="58" t="s">
        <v>33</v>
      </c>
      <c r="AB5" s="58" t="s">
        <v>33</v>
      </c>
      <c r="AC5" s="44"/>
      <c r="AD5" s="44"/>
      <c r="AE5" s="54"/>
      <c r="AF5" s="54"/>
      <c r="AG5" s="58" t="s">
        <v>34</v>
      </c>
      <c r="AH5" s="58" t="s">
        <v>34</v>
      </c>
      <c r="AI5" s="54"/>
      <c r="AJ5" s="55"/>
      <c r="AK5" s="58" t="s">
        <v>34</v>
      </c>
      <c r="AL5" s="58" t="s">
        <v>34</v>
      </c>
      <c r="AM5" s="44"/>
      <c r="AN5" s="54"/>
      <c r="AO5" s="54"/>
      <c r="AP5" s="58" t="s">
        <v>35</v>
      </c>
      <c r="AQ5" s="58" t="s">
        <v>35</v>
      </c>
      <c r="AR5" s="54"/>
      <c r="AS5" s="55"/>
      <c r="AT5" s="58" t="s">
        <v>35</v>
      </c>
      <c r="AU5" s="58" t="s">
        <v>35</v>
      </c>
      <c r="AV5" s="44"/>
      <c r="AW5" s="44"/>
      <c r="AX5" s="54"/>
      <c r="AY5" s="54"/>
      <c r="AZ5" s="52" t="s">
        <v>36</v>
      </c>
      <c r="BA5" s="52" t="s">
        <v>36</v>
      </c>
      <c r="BB5" s="54"/>
      <c r="BC5" s="55"/>
      <c r="BD5" s="52" t="s">
        <v>36</v>
      </c>
      <c r="BE5" s="52" t="s">
        <v>36</v>
      </c>
      <c r="BF5" s="44"/>
      <c r="BG5" s="56"/>
    </row>
    <row r="6" ht="35.25" customHeight="1">
      <c r="A6" s="41"/>
      <c r="B6" s="46" t="s">
        <v>37</v>
      </c>
      <c r="C6" s="59"/>
      <c r="D6" s="59"/>
      <c r="E6" s="60"/>
      <c r="F6" s="60"/>
      <c r="G6" s="59"/>
      <c r="H6" s="61"/>
      <c r="I6" s="62"/>
      <c r="J6" s="62"/>
      <c r="K6" s="44"/>
      <c r="L6" s="59"/>
      <c r="M6" s="59"/>
      <c r="N6" s="60"/>
      <c r="O6" s="60"/>
      <c r="P6" s="59"/>
      <c r="Q6" s="61"/>
      <c r="R6" s="62"/>
      <c r="S6" s="62"/>
      <c r="T6" s="44"/>
      <c r="U6" s="59"/>
      <c r="V6" s="59"/>
      <c r="W6" s="60"/>
      <c r="X6" s="60"/>
      <c r="Y6" s="59"/>
      <c r="Z6" s="61"/>
      <c r="AA6" s="62"/>
      <c r="AB6" s="62"/>
      <c r="AC6" s="44"/>
      <c r="AD6" s="44"/>
      <c r="AE6" s="59"/>
      <c r="AF6" s="59"/>
      <c r="AG6" s="60"/>
      <c r="AH6" s="60"/>
      <c r="AI6" s="59"/>
      <c r="AJ6" s="61"/>
      <c r="AK6" s="62"/>
      <c r="AL6" s="62"/>
      <c r="AM6" s="44"/>
      <c r="AN6" s="59"/>
      <c r="AO6" s="59"/>
      <c r="AP6" s="60"/>
      <c r="AQ6" s="60"/>
      <c r="AR6" s="59"/>
      <c r="AS6" s="61"/>
      <c r="AT6" s="62" t="str">
        <f t="shared" ref="AT6:AU6" si="13">AP6</f>
        <v/>
      </c>
      <c r="AU6" s="62" t="str">
        <f t="shared" si="13"/>
        <v/>
      </c>
      <c r="AV6" s="44"/>
      <c r="AW6" s="44"/>
      <c r="AX6" s="59"/>
      <c r="AY6" s="59"/>
      <c r="AZ6" s="60"/>
      <c r="BA6" s="60"/>
      <c r="BB6" s="59"/>
      <c r="BC6" s="61"/>
      <c r="BD6" s="62" t="str">
        <f t="shared" ref="BD6:BE6" si="14">AZ6</f>
        <v/>
      </c>
      <c r="BE6" s="62" t="str">
        <f t="shared" si="14"/>
        <v/>
      </c>
      <c r="BF6" s="44"/>
      <c r="BG6" s="56"/>
    </row>
    <row r="7" ht="17.25" customHeight="1">
      <c r="A7" s="41"/>
      <c r="B7" s="46" t="s">
        <v>38</v>
      </c>
      <c r="C7" s="63">
        <v>0.0</v>
      </c>
      <c r="D7" s="63"/>
      <c r="E7" s="64">
        <v>42255.0</v>
      </c>
      <c r="F7" s="65">
        <v>42255.0</v>
      </c>
      <c r="G7" s="63">
        <v>0.0</v>
      </c>
      <c r="H7" s="66"/>
      <c r="I7" s="64">
        <f t="shared" ref="I7:J7" si="15">E7</f>
        <v>42255</v>
      </c>
      <c r="J7" s="65">
        <f t="shared" si="15"/>
        <v>42255</v>
      </c>
      <c r="K7" s="67"/>
      <c r="L7" s="63">
        <v>0.0</v>
      </c>
      <c r="M7" s="63"/>
      <c r="N7" s="64">
        <v>42255.0</v>
      </c>
      <c r="O7" s="65">
        <v>42255.0</v>
      </c>
      <c r="P7" s="63">
        <v>0.0</v>
      </c>
      <c r="Q7" s="66"/>
      <c r="R7" s="64">
        <f t="shared" ref="R7:S7" si="16">N7</f>
        <v>42255</v>
      </c>
      <c r="S7" s="65">
        <f t="shared" si="16"/>
        <v>42255</v>
      </c>
      <c r="T7" s="67"/>
      <c r="U7" s="63">
        <v>0.0</v>
      </c>
      <c r="V7" s="63"/>
      <c r="W7" s="64">
        <v>42255.0</v>
      </c>
      <c r="X7" s="65">
        <v>42255.0</v>
      </c>
      <c r="Y7" s="63">
        <v>0.0</v>
      </c>
      <c r="Z7" s="66"/>
      <c r="AA7" s="64">
        <f t="shared" ref="AA7:AB7" si="17">W7</f>
        <v>42255</v>
      </c>
      <c r="AB7" s="65">
        <f t="shared" si="17"/>
        <v>42255</v>
      </c>
      <c r="AC7" s="67"/>
      <c r="AD7" s="67"/>
      <c r="AE7" s="63">
        <v>0.0</v>
      </c>
      <c r="AF7" s="63"/>
      <c r="AG7" s="64">
        <v>42255.0</v>
      </c>
      <c r="AH7" s="65">
        <v>42255.0</v>
      </c>
      <c r="AI7" s="63">
        <v>0.0</v>
      </c>
      <c r="AJ7" s="66"/>
      <c r="AK7" s="64">
        <f t="shared" ref="AK7:AL7" si="18">AG7</f>
        <v>42255</v>
      </c>
      <c r="AL7" s="65">
        <f t="shared" si="18"/>
        <v>42255</v>
      </c>
      <c r="AM7" s="67"/>
      <c r="AN7" s="63">
        <v>0.0</v>
      </c>
      <c r="AO7" s="63"/>
      <c r="AP7" s="64">
        <v>42255.0</v>
      </c>
      <c r="AQ7" s="65">
        <v>42255.0</v>
      </c>
      <c r="AR7" s="63">
        <v>0.0</v>
      </c>
      <c r="AS7" s="66"/>
      <c r="AT7" s="64">
        <f t="shared" ref="AT7:AU7" si="19">AP7</f>
        <v>42255</v>
      </c>
      <c r="AU7" s="65">
        <f t="shared" si="19"/>
        <v>42255</v>
      </c>
      <c r="AV7" s="67"/>
      <c r="AW7" s="67"/>
      <c r="AX7" s="63">
        <v>0.0</v>
      </c>
      <c r="AY7" s="63"/>
      <c r="AZ7" s="64">
        <v>42255.0</v>
      </c>
      <c r="BA7" s="65">
        <v>42255.0</v>
      </c>
      <c r="BB7" s="63">
        <v>0.0</v>
      </c>
      <c r="BC7" s="66"/>
      <c r="BD7" s="68">
        <f t="shared" ref="BD7:BE7" si="20">AZ7</f>
        <v>42255</v>
      </c>
      <c r="BE7" s="68">
        <f t="shared" si="20"/>
        <v>42255</v>
      </c>
      <c r="BF7" s="67"/>
      <c r="BG7" s="45"/>
    </row>
    <row r="8" ht="17.25" customHeight="1">
      <c r="A8" s="69"/>
      <c r="B8" s="70" t="s">
        <v>39</v>
      </c>
      <c r="C8" s="71">
        <v>12.0</v>
      </c>
      <c r="D8" s="71">
        <v>12.0</v>
      </c>
      <c r="E8" s="72">
        <f>E$7+C8*7</f>
        <v>42339</v>
      </c>
      <c r="F8" s="73">
        <f>F7+(7*D8)</f>
        <v>42339</v>
      </c>
      <c r="G8" s="71">
        <v>12.0</v>
      </c>
      <c r="H8" s="71">
        <v>12.0</v>
      </c>
      <c r="I8" s="72">
        <f>E8</f>
        <v>42339</v>
      </c>
      <c r="J8" s="73">
        <f t="shared" ref="J8:J9" si="21">J7+(7*H8)</f>
        <v>42339</v>
      </c>
      <c r="K8" s="67"/>
      <c r="L8" s="71">
        <v>12.0</v>
      </c>
      <c r="M8" s="71">
        <v>12.0</v>
      </c>
      <c r="N8" s="72">
        <f>N$7+L8*7</f>
        <v>42339</v>
      </c>
      <c r="O8" s="73">
        <f>O7+(7*M8)</f>
        <v>42339</v>
      </c>
      <c r="P8" s="71">
        <v>12.0</v>
      </c>
      <c r="Q8" s="71">
        <v>12.0</v>
      </c>
      <c r="R8" s="72">
        <f>N8</f>
        <v>42339</v>
      </c>
      <c r="S8" s="73">
        <f t="shared" ref="S8:S9" si="22">S7+(7*Q8)</f>
        <v>42339</v>
      </c>
      <c r="T8" s="67"/>
      <c r="U8" s="71">
        <v>12.0</v>
      </c>
      <c r="V8" s="71">
        <v>12.0</v>
      </c>
      <c r="W8" s="72">
        <f>W$7+U8*7</f>
        <v>42339</v>
      </c>
      <c r="X8" s="73">
        <f>X7+(7*V8)</f>
        <v>42339</v>
      </c>
      <c r="Y8" s="71">
        <v>12.0</v>
      </c>
      <c r="Z8" s="71">
        <v>12.0</v>
      </c>
      <c r="AA8" s="72">
        <f>W8</f>
        <v>42339</v>
      </c>
      <c r="AB8" s="73">
        <f t="shared" ref="AB8:AB9" si="23">AB7+(7*Z8)</f>
        <v>42339</v>
      </c>
      <c r="AC8" s="67"/>
      <c r="AD8" s="67"/>
      <c r="AE8" s="71">
        <v>12.0</v>
      </c>
      <c r="AF8" s="71">
        <v>12.0</v>
      </c>
      <c r="AG8" s="72">
        <f>AG$7+AE8*7</f>
        <v>42339</v>
      </c>
      <c r="AH8" s="73">
        <f>AH7+(7*AF8)</f>
        <v>42339</v>
      </c>
      <c r="AI8" s="71">
        <v>12.0</v>
      </c>
      <c r="AJ8" s="71">
        <v>12.0</v>
      </c>
      <c r="AK8" s="72">
        <f>AG8</f>
        <v>42339</v>
      </c>
      <c r="AL8" s="73">
        <f t="shared" ref="AL8:AL9" si="24">AL7+(7*AJ8)</f>
        <v>42339</v>
      </c>
      <c r="AM8" s="67"/>
      <c r="AN8" s="71">
        <v>12.0</v>
      </c>
      <c r="AO8" s="71">
        <v>12.0</v>
      </c>
      <c r="AP8" s="72">
        <f>AP$7+AN8*7</f>
        <v>42339</v>
      </c>
      <c r="AQ8" s="73">
        <f>AQ7+(7*AO8)</f>
        <v>42339</v>
      </c>
      <c r="AR8" s="71">
        <v>12.0</v>
      </c>
      <c r="AS8" s="71">
        <v>12.0</v>
      </c>
      <c r="AT8" s="72">
        <f>AP8</f>
        <v>42339</v>
      </c>
      <c r="AU8" s="73">
        <f t="shared" ref="AU8:AU9" si="25">AU7+(7*AS8)</f>
        <v>42339</v>
      </c>
      <c r="AV8" s="67"/>
      <c r="AW8" s="67"/>
      <c r="AX8" s="71">
        <v>12.0</v>
      </c>
      <c r="AY8" s="71">
        <v>12.0</v>
      </c>
      <c r="AZ8" s="72">
        <f>AZ$7+AX8*7</f>
        <v>42339</v>
      </c>
      <c r="BA8" s="73">
        <f>BA7+(7*AY8)</f>
        <v>42339</v>
      </c>
      <c r="BB8" s="71">
        <v>12.0</v>
      </c>
      <c r="BC8" s="74">
        <v>12.0</v>
      </c>
      <c r="BD8" s="72">
        <f>BD$7+BB8*7</f>
        <v>42339</v>
      </c>
      <c r="BE8" s="72">
        <f>BE7+(BC8*7)</f>
        <v>42339</v>
      </c>
      <c r="BF8" s="67"/>
      <c r="BG8" s="40"/>
    </row>
    <row r="9" ht="17.25" customHeight="1">
      <c r="A9" s="69"/>
      <c r="B9" s="75" t="s">
        <v>40</v>
      </c>
      <c r="C9" s="76"/>
      <c r="D9" s="76"/>
      <c r="E9" s="77"/>
      <c r="F9" s="77"/>
      <c r="G9" s="78">
        <v>2.0</v>
      </c>
      <c r="H9" s="79">
        <f>G9</f>
        <v>2</v>
      </c>
      <c r="I9" s="80">
        <f t="shared" ref="I9:I10" si="26">I$8+(7*G9)</f>
        <v>42353</v>
      </c>
      <c r="J9" s="65">
        <f t="shared" si="21"/>
        <v>42353</v>
      </c>
      <c r="K9" s="81"/>
      <c r="L9" s="76"/>
      <c r="M9" s="76"/>
      <c r="N9" s="77"/>
      <c r="O9" s="77"/>
      <c r="P9" s="78">
        <v>2.0</v>
      </c>
      <c r="Q9" s="79">
        <f>P9</f>
        <v>2</v>
      </c>
      <c r="R9" s="80">
        <f t="shared" ref="R9:R10" si="27">R$8+(7*P9)</f>
        <v>42353</v>
      </c>
      <c r="S9" s="65">
        <f t="shared" si="22"/>
        <v>42353</v>
      </c>
      <c r="T9" s="81"/>
      <c r="U9" s="76"/>
      <c r="V9" s="76"/>
      <c r="W9" s="77"/>
      <c r="X9" s="77"/>
      <c r="Y9" s="78">
        <v>2.0</v>
      </c>
      <c r="Z9" s="79">
        <f>Y9</f>
        <v>2</v>
      </c>
      <c r="AA9" s="80">
        <f t="shared" ref="AA9:AA10" si="28">AA$8+(7*Y9)</f>
        <v>42353</v>
      </c>
      <c r="AB9" s="65">
        <f t="shared" si="23"/>
        <v>42353</v>
      </c>
      <c r="AC9" s="81"/>
      <c r="AD9" s="81"/>
      <c r="AE9" s="76"/>
      <c r="AF9" s="76"/>
      <c r="AG9" s="77"/>
      <c r="AH9" s="77"/>
      <c r="AI9" s="78">
        <v>3.0</v>
      </c>
      <c r="AJ9" s="79">
        <f>AI9</f>
        <v>3</v>
      </c>
      <c r="AK9" s="80">
        <f t="shared" ref="AK9:AK10" si="29">AK$8+(7*AI9)</f>
        <v>42360</v>
      </c>
      <c r="AL9" s="65">
        <f t="shared" si="24"/>
        <v>42360</v>
      </c>
      <c r="AM9" s="81"/>
      <c r="AN9" s="76"/>
      <c r="AO9" s="76"/>
      <c r="AP9" s="77"/>
      <c r="AQ9" s="77"/>
      <c r="AR9" s="78">
        <v>4.0</v>
      </c>
      <c r="AS9" s="79">
        <f>AR9</f>
        <v>4</v>
      </c>
      <c r="AT9" s="80">
        <f t="shared" ref="AT9:AT10" si="30">AT$8+(7*AR9)</f>
        <v>42367</v>
      </c>
      <c r="AU9" s="65">
        <f t="shared" si="25"/>
        <v>42367</v>
      </c>
      <c r="AV9" s="81"/>
      <c r="AW9" s="81"/>
      <c r="AX9" s="76"/>
      <c r="AY9" s="76"/>
      <c r="AZ9" s="77"/>
      <c r="BA9" s="77"/>
      <c r="BB9" s="78">
        <v>4.0</v>
      </c>
      <c r="BC9" s="79">
        <v>4.0</v>
      </c>
      <c r="BD9" s="80">
        <f t="shared" ref="BD9:BD10" si="31">BD$8+(7*BB9)</f>
        <v>42367</v>
      </c>
      <c r="BE9" s="64">
        <f>BE8+(7*BC9)</f>
        <v>42367</v>
      </c>
      <c r="BF9" s="81"/>
      <c r="BG9" s="40"/>
    </row>
    <row r="10" ht="17.25" customHeight="1">
      <c r="A10" s="69"/>
      <c r="B10" s="75" t="s">
        <v>41</v>
      </c>
      <c r="C10" s="76"/>
      <c r="D10" s="76"/>
      <c r="E10" s="77"/>
      <c r="F10" s="77"/>
      <c r="G10" s="78">
        <v>6.0</v>
      </c>
      <c r="H10" s="79">
        <f>G10-C11</f>
        <v>3</v>
      </c>
      <c r="I10" s="80">
        <f t="shared" si="26"/>
        <v>42381</v>
      </c>
      <c r="J10" s="65">
        <f>F11+(7*H10)</f>
        <v>42381</v>
      </c>
      <c r="K10" s="81"/>
      <c r="L10" s="76"/>
      <c r="M10" s="76"/>
      <c r="N10" s="77"/>
      <c r="O10" s="77"/>
      <c r="P10" s="78">
        <v>6.0</v>
      </c>
      <c r="Q10" s="79">
        <f>P10-L11</f>
        <v>3</v>
      </c>
      <c r="R10" s="80">
        <f t="shared" si="27"/>
        <v>42381</v>
      </c>
      <c r="S10" s="65">
        <f>O11+(7*Q10)</f>
        <v>42381</v>
      </c>
      <c r="T10" s="81"/>
      <c r="U10" s="76"/>
      <c r="V10" s="76"/>
      <c r="W10" s="77"/>
      <c r="X10" s="77"/>
      <c r="Y10" s="78">
        <v>6.0</v>
      </c>
      <c r="Z10" s="79">
        <f>Y10-U11</f>
        <v>3</v>
      </c>
      <c r="AA10" s="80">
        <f t="shared" si="28"/>
        <v>42381</v>
      </c>
      <c r="AB10" s="65">
        <f>X11+(7*Z10)</f>
        <v>42381</v>
      </c>
      <c r="AC10" s="81"/>
      <c r="AD10" s="81"/>
      <c r="AE10" s="76"/>
      <c r="AF10" s="76"/>
      <c r="AG10" s="77"/>
      <c r="AH10" s="77"/>
      <c r="AI10" s="78">
        <v>8.0</v>
      </c>
      <c r="AJ10" s="79">
        <f>AI10-AE11</f>
        <v>4</v>
      </c>
      <c r="AK10" s="80">
        <f t="shared" si="29"/>
        <v>42395</v>
      </c>
      <c r="AL10" s="65">
        <f>AH11+(7*AJ10)</f>
        <v>42395</v>
      </c>
      <c r="AM10" s="81"/>
      <c r="AN10" s="76"/>
      <c r="AO10" s="76"/>
      <c r="AP10" s="77"/>
      <c r="AQ10" s="77"/>
      <c r="AR10" s="78">
        <v>12.0</v>
      </c>
      <c r="AS10" s="79">
        <f>AR10-AN11</f>
        <v>6</v>
      </c>
      <c r="AT10" s="80">
        <f t="shared" si="30"/>
        <v>42423</v>
      </c>
      <c r="AU10" s="65">
        <f>AQ11+(7*AS10)</f>
        <v>42423</v>
      </c>
      <c r="AV10" s="81"/>
      <c r="AW10" s="81"/>
      <c r="AX10" s="76"/>
      <c r="AY10" s="76"/>
      <c r="AZ10" s="77"/>
      <c r="BA10" s="77"/>
      <c r="BB10" s="78">
        <v>12.0</v>
      </c>
      <c r="BC10" s="79">
        <f>BB10-AX11</f>
        <v>4</v>
      </c>
      <c r="BD10" s="80">
        <f t="shared" si="31"/>
        <v>42423</v>
      </c>
      <c r="BE10" s="64">
        <f>BA11+(7*BC10)</f>
        <v>42423</v>
      </c>
      <c r="BF10" s="81"/>
      <c r="BG10" s="40" t="s">
        <v>42</v>
      </c>
    </row>
    <row r="11" ht="17.25" customHeight="1" outlineLevel="1">
      <c r="A11" s="69"/>
      <c r="B11" s="82" t="s">
        <v>43</v>
      </c>
      <c r="C11" s="83">
        <v>3.0</v>
      </c>
      <c r="D11" s="83">
        <f>D12</f>
        <v>1</v>
      </c>
      <c r="E11" s="65">
        <f t="shared" ref="E11:E12" si="32">E$8+(7*C11)</f>
        <v>42360</v>
      </c>
      <c r="F11" s="65">
        <f>J9+(7*D11)</f>
        <v>42360</v>
      </c>
      <c r="G11" s="76"/>
      <c r="H11" s="84"/>
      <c r="I11" s="85"/>
      <c r="J11" s="85"/>
      <c r="K11" s="81"/>
      <c r="L11" s="83">
        <v>3.0</v>
      </c>
      <c r="M11" s="83">
        <f>M12</f>
        <v>1</v>
      </c>
      <c r="N11" s="65">
        <f t="shared" ref="N11:N12" si="33">N$8+(7*L11)</f>
        <v>42360</v>
      </c>
      <c r="O11" s="65">
        <f>S9+(7*M11)</f>
        <v>42360</v>
      </c>
      <c r="P11" s="76"/>
      <c r="Q11" s="84"/>
      <c r="R11" s="85"/>
      <c r="S11" s="85"/>
      <c r="T11" s="81"/>
      <c r="U11" s="83">
        <v>3.0</v>
      </c>
      <c r="V11" s="83">
        <f>V12</f>
        <v>1</v>
      </c>
      <c r="W11" s="65">
        <f t="shared" ref="W11:W12" si="34">W$8+(7*U11)</f>
        <v>42360</v>
      </c>
      <c r="X11" s="65">
        <f>AB9+(7*V11)</f>
        <v>42360</v>
      </c>
      <c r="Y11" s="76"/>
      <c r="Z11" s="84"/>
      <c r="AA11" s="85"/>
      <c r="AB11" s="85"/>
      <c r="AC11" s="81"/>
      <c r="AD11" s="81"/>
      <c r="AE11" s="83">
        <v>4.0</v>
      </c>
      <c r="AF11" s="83">
        <f>AF12</f>
        <v>1</v>
      </c>
      <c r="AG11" s="65">
        <f t="shared" ref="AG11:AG12" si="35">AG$8+(7*AE11)</f>
        <v>42367</v>
      </c>
      <c r="AH11" s="65">
        <f>AL9+(7*AF11)</f>
        <v>42367</v>
      </c>
      <c r="AI11" s="76"/>
      <c r="AJ11" s="84"/>
      <c r="AK11" s="85"/>
      <c r="AL11" s="85"/>
      <c r="AM11" s="81"/>
      <c r="AN11" s="83">
        <v>6.0</v>
      </c>
      <c r="AO11" s="83">
        <f>AO12</f>
        <v>2</v>
      </c>
      <c r="AP11" s="65">
        <f t="shared" ref="AP11:AP12" si="36">AP$8+(7*AN11)</f>
        <v>42381</v>
      </c>
      <c r="AQ11" s="65">
        <f>AU9+(7*AO11)</f>
        <v>42381</v>
      </c>
      <c r="AR11" s="76"/>
      <c r="AS11" s="84"/>
      <c r="AT11" s="85"/>
      <c r="AU11" s="85"/>
      <c r="AV11" s="81"/>
      <c r="AW11" s="81"/>
      <c r="AX11" s="83">
        <f>BB9+4</f>
        <v>8</v>
      </c>
      <c r="AY11" s="83">
        <f>AY12</f>
        <v>4</v>
      </c>
      <c r="AZ11" s="65">
        <f t="shared" ref="AZ11:AZ12" si="37">AZ$8+(7*AX11)</f>
        <v>42395</v>
      </c>
      <c r="BA11" s="65">
        <f>BE9+(7*AY11)</f>
        <v>42395</v>
      </c>
      <c r="BB11" s="76"/>
      <c r="BC11" s="84"/>
      <c r="BD11" s="85"/>
      <c r="BE11" s="85"/>
      <c r="BF11" s="81"/>
      <c r="BG11" s="40" t="s">
        <v>44</v>
      </c>
    </row>
    <row r="12" ht="17.25" customHeight="1" outlineLevel="1">
      <c r="A12" s="69"/>
      <c r="B12" s="86" t="s">
        <v>45</v>
      </c>
      <c r="C12" s="83">
        <v>3.0</v>
      </c>
      <c r="D12" s="83">
        <f>C12-G9</f>
        <v>1</v>
      </c>
      <c r="E12" s="65">
        <f t="shared" si="32"/>
        <v>42360</v>
      </c>
      <c r="F12" s="65">
        <f>J9+(7*D12)</f>
        <v>42360</v>
      </c>
      <c r="G12" s="76"/>
      <c r="H12" s="84"/>
      <c r="I12" s="85"/>
      <c r="J12" s="85"/>
      <c r="K12" s="81"/>
      <c r="L12" s="83">
        <v>3.0</v>
      </c>
      <c r="M12" s="83">
        <f>L12-P9</f>
        <v>1</v>
      </c>
      <c r="N12" s="65">
        <f t="shared" si="33"/>
        <v>42360</v>
      </c>
      <c r="O12" s="65">
        <f>S9+(7*M12)</f>
        <v>42360</v>
      </c>
      <c r="P12" s="76"/>
      <c r="Q12" s="84"/>
      <c r="R12" s="85"/>
      <c r="S12" s="85"/>
      <c r="T12" s="81"/>
      <c r="U12" s="83">
        <v>3.0</v>
      </c>
      <c r="V12" s="83">
        <f>U12-Y9</f>
        <v>1</v>
      </c>
      <c r="W12" s="65">
        <f t="shared" si="34"/>
        <v>42360</v>
      </c>
      <c r="X12" s="65">
        <f>AB9+(7*V12)</f>
        <v>42360</v>
      </c>
      <c r="Y12" s="76"/>
      <c r="Z12" s="84"/>
      <c r="AA12" s="85"/>
      <c r="AB12" s="85"/>
      <c r="AC12" s="81"/>
      <c r="AD12" s="81"/>
      <c r="AE12" s="83">
        <v>4.0</v>
      </c>
      <c r="AF12" s="83">
        <f>AE12-AI9</f>
        <v>1</v>
      </c>
      <c r="AG12" s="65">
        <f t="shared" si="35"/>
        <v>42367</v>
      </c>
      <c r="AH12" s="65">
        <f>AL9+(7*AF12)</f>
        <v>42367</v>
      </c>
      <c r="AI12" s="76"/>
      <c r="AJ12" s="84"/>
      <c r="AK12" s="85"/>
      <c r="AL12" s="85"/>
      <c r="AM12" s="81"/>
      <c r="AN12" s="83">
        <v>6.0</v>
      </c>
      <c r="AO12" s="83">
        <f>AN12-AR9</f>
        <v>2</v>
      </c>
      <c r="AP12" s="65">
        <f t="shared" si="36"/>
        <v>42381</v>
      </c>
      <c r="AQ12" s="65">
        <f>AU9+(7*AO12)</f>
        <v>42381</v>
      </c>
      <c r="AR12" s="76"/>
      <c r="AS12" s="84"/>
      <c r="AT12" s="85"/>
      <c r="AU12" s="85"/>
      <c r="AV12" s="81"/>
      <c r="AW12" s="81"/>
      <c r="AX12" s="83">
        <f>AX11</f>
        <v>8</v>
      </c>
      <c r="AY12" s="83">
        <v>4.0</v>
      </c>
      <c r="AZ12" s="65">
        <f t="shared" si="37"/>
        <v>42395</v>
      </c>
      <c r="BA12" s="65">
        <f>BE9+(7*AY12)</f>
        <v>42395</v>
      </c>
      <c r="BB12" s="76"/>
      <c r="BC12" s="84"/>
      <c r="BD12" s="85"/>
      <c r="BE12" s="85"/>
      <c r="BF12" s="81"/>
      <c r="BG12" s="40" t="s">
        <v>44</v>
      </c>
    </row>
    <row r="13" ht="17.25" customHeight="1">
      <c r="A13" s="69"/>
      <c r="B13" s="75" t="s">
        <v>46</v>
      </c>
      <c r="C13" s="76"/>
      <c r="D13" s="76"/>
      <c r="E13" s="77"/>
      <c r="F13" s="77"/>
      <c r="G13" s="78">
        <v>10.0</v>
      </c>
      <c r="H13" s="79">
        <f>G13-G10</f>
        <v>4</v>
      </c>
      <c r="I13" s="80">
        <f t="shared" ref="I13:I14" si="38">I$8+(7*G13)</f>
        <v>42409</v>
      </c>
      <c r="J13" s="65">
        <f>J10+(7*H13)</f>
        <v>42409</v>
      </c>
      <c r="K13" s="81"/>
      <c r="L13" s="76"/>
      <c r="M13" s="76"/>
      <c r="N13" s="77"/>
      <c r="O13" s="77"/>
      <c r="P13" s="78">
        <v>10.0</v>
      </c>
      <c r="Q13" s="79">
        <f>P13-P10</f>
        <v>4</v>
      </c>
      <c r="R13" s="80">
        <f t="shared" ref="R13:R14" si="39">R$8+(7*P13)</f>
        <v>42409</v>
      </c>
      <c r="S13" s="65">
        <f>S10+(7*Q13)</f>
        <v>42409</v>
      </c>
      <c r="T13" s="81"/>
      <c r="U13" s="76">
        <v>10.0</v>
      </c>
      <c r="V13" s="76"/>
      <c r="W13" s="77"/>
      <c r="X13" s="77"/>
      <c r="Y13" s="78">
        <v>10.0</v>
      </c>
      <c r="Z13" s="79">
        <f>Y13-Y10</f>
        <v>4</v>
      </c>
      <c r="AA13" s="80">
        <f t="shared" ref="AA13:AA14" si="40">AA$8+(7*Y13)</f>
        <v>42409</v>
      </c>
      <c r="AB13" s="65">
        <f>AB10+(7*Z13)</f>
        <v>42409</v>
      </c>
      <c r="AC13" s="81"/>
      <c r="AD13" s="81"/>
      <c r="AE13" s="76"/>
      <c r="AF13" s="76"/>
      <c r="AG13" s="77"/>
      <c r="AH13" s="77"/>
      <c r="AI13" s="78">
        <v>12.0</v>
      </c>
      <c r="AJ13" s="79">
        <f>AI13-AI10</f>
        <v>4</v>
      </c>
      <c r="AK13" s="80">
        <f t="shared" ref="AK13:AK14" si="41">AK$8+(7*AI13)</f>
        <v>42423</v>
      </c>
      <c r="AL13" s="65">
        <f>AL10+(7*AJ13)</f>
        <v>42423</v>
      </c>
      <c r="AM13" s="81"/>
      <c r="AN13" s="76"/>
      <c r="AO13" s="76"/>
      <c r="AP13" s="77"/>
      <c r="AQ13" s="77"/>
      <c r="AR13" s="78">
        <v>12.0</v>
      </c>
      <c r="AS13" s="79">
        <f>AR13-AR10</f>
        <v>0</v>
      </c>
      <c r="AT13" s="80">
        <f t="shared" ref="AT13:AT14" si="42">AT$8+(7*AR13)</f>
        <v>42423</v>
      </c>
      <c r="AU13" s="65">
        <f>AU10+(7*AS13)</f>
        <v>42423</v>
      </c>
      <c r="AV13" s="81"/>
      <c r="AW13" s="81"/>
      <c r="AX13" s="76"/>
      <c r="AY13" s="76"/>
      <c r="AZ13" s="77"/>
      <c r="BA13" s="77"/>
      <c r="BB13" s="78">
        <v>12.0</v>
      </c>
      <c r="BC13" s="79">
        <v>0.0</v>
      </c>
      <c r="BD13" s="80">
        <f t="shared" ref="BD13:BD14" si="43">BD$8+(7*BB13)</f>
        <v>42423</v>
      </c>
      <c r="BE13" s="64">
        <f>BE10+(7*BC13)</f>
        <v>42423</v>
      </c>
      <c r="BF13" s="81"/>
      <c r="BG13" s="40"/>
    </row>
    <row r="14" ht="17.25" customHeight="1">
      <c r="A14" s="69"/>
      <c r="B14" s="75" t="s">
        <v>47</v>
      </c>
      <c r="C14" s="76"/>
      <c r="D14" s="76"/>
      <c r="E14" s="77"/>
      <c r="F14" s="77"/>
      <c r="G14" s="78">
        <v>14.0</v>
      </c>
      <c r="H14" s="79">
        <f>G14-C15</f>
        <v>4</v>
      </c>
      <c r="I14" s="80">
        <f t="shared" si="38"/>
        <v>42437</v>
      </c>
      <c r="J14" s="65">
        <f>F15+(7*H14)</f>
        <v>42437</v>
      </c>
      <c r="K14" s="81"/>
      <c r="L14" s="76"/>
      <c r="M14" s="76"/>
      <c r="N14" s="77"/>
      <c r="O14" s="77"/>
      <c r="P14" s="78">
        <v>14.0</v>
      </c>
      <c r="Q14" s="79">
        <f>P14-L15</f>
        <v>4</v>
      </c>
      <c r="R14" s="80">
        <f t="shared" si="39"/>
        <v>42437</v>
      </c>
      <c r="S14" s="65">
        <f>O15+(7*Q14)</f>
        <v>42437</v>
      </c>
      <c r="T14" s="81"/>
      <c r="U14" s="76"/>
      <c r="V14" s="76"/>
      <c r="W14" s="77"/>
      <c r="X14" s="77"/>
      <c r="Y14" s="78">
        <v>14.0</v>
      </c>
      <c r="Z14" s="79">
        <f>Y14-U15</f>
        <v>4</v>
      </c>
      <c r="AA14" s="80">
        <f t="shared" si="40"/>
        <v>42437</v>
      </c>
      <c r="AB14" s="65">
        <f>X15+(7*Z14)</f>
        <v>42437</v>
      </c>
      <c r="AC14" s="81"/>
      <c r="AD14" s="81"/>
      <c r="AE14" s="76"/>
      <c r="AF14" s="76"/>
      <c r="AG14" s="77"/>
      <c r="AH14" s="77"/>
      <c r="AI14" s="78">
        <v>16.0</v>
      </c>
      <c r="AJ14" s="79">
        <f>AI14-AE15</f>
        <v>4</v>
      </c>
      <c r="AK14" s="80">
        <f t="shared" si="41"/>
        <v>42451</v>
      </c>
      <c r="AL14" s="65">
        <f>AH15+(7*AJ14)</f>
        <v>42451</v>
      </c>
      <c r="AM14" s="81"/>
      <c r="AN14" s="76"/>
      <c r="AO14" s="76"/>
      <c r="AP14" s="77"/>
      <c r="AQ14" s="77"/>
      <c r="AR14" s="78">
        <v>22.0</v>
      </c>
      <c r="AS14" s="79">
        <f>AR14-AN15</f>
        <v>6</v>
      </c>
      <c r="AT14" s="80">
        <f t="shared" si="42"/>
        <v>42493</v>
      </c>
      <c r="AU14" s="65">
        <f>AQ15+(7*AS14)</f>
        <v>42493</v>
      </c>
      <c r="AV14" s="81"/>
      <c r="AW14" s="81"/>
      <c r="AX14" s="76"/>
      <c r="AY14" s="76"/>
      <c r="AZ14" s="77"/>
      <c r="BA14" s="77"/>
      <c r="BB14" s="78">
        <v>24.0</v>
      </c>
      <c r="BC14" s="79">
        <v>4.0</v>
      </c>
      <c r="BD14" s="80">
        <f t="shared" si="43"/>
        <v>42507</v>
      </c>
      <c r="BE14" s="64">
        <f>BA15+(7*BC14)</f>
        <v>42507</v>
      </c>
      <c r="BF14" s="81"/>
      <c r="BG14" s="40" t="s">
        <v>48</v>
      </c>
    </row>
    <row r="15" ht="17.25" customHeight="1" outlineLevel="1">
      <c r="A15" s="69"/>
      <c r="B15" s="87" t="s">
        <v>49</v>
      </c>
      <c r="C15" s="83">
        <v>10.0</v>
      </c>
      <c r="D15" s="83">
        <f>C15-G13</f>
        <v>0</v>
      </c>
      <c r="E15" s="65">
        <f t="shared" ref="E15:E16" si="44">E$8+(7*C15)</f>
        <v>42409</v>
      </c>
      <c r="F15" s="65">
        <f>J13+(7*D15)</f>
        <v>42409</v>
      </c>
      <c r="G15" s="76"/>
      <c r="H15" s="84"/>
      <c r="I15" s="85"/>
      <c r="J15" s="85"/>
      <c r="K15" s="81"/>
      <c r="L15" s="83">
        <v>10.0</v>
      </c>
      <c r="M15" s="83">
        <f>L15-P13</f>
        <v>0</v>
      </c>
      <c r="N15" s="65">
        <f t="shared" ref="N15:N16" si="45">N$8+(7*L15)</f>
        <v>42409</v>
      </c>
      <c r="O15" s="65">
        <f>S13+(7*M15)</f>
        <v>42409</v>
      </c>
      <c r="P15" s="76"/>
      <c r="Q15" s="84"/>
      <c r="R15" s="85"/>
      <c r="S15" s="85"/>
      <c r="T15" s="81"/>
      <c r="U15" s="83">
        <v>10.0</v>
      </c>
      <c r="V15" s="83">
        <f>U15-Y13</f>
        <v>0</v>
      </c>
      <c r="W15" s="65">
        <f t="shared" ref="W15:W16" si="46">W$8+(7*U15)</f>
        <v>42409</v>
      </c>
      <c r="X15" s="65">
        <f>AB13+(7*V15)</f>
        <v>42409</v>
      </c>
      <c r="Y15" s="76"/>
      <c r="Z15" s="84"/>
      <c r="AA15" s="85"/>
      <c r="AB15" s="85"/>
      <c r="AC15" s="81"/>
      <c r="AD15" s="81"/>
      <c r="AE15" s="83">
        <v>12.0</v>
      </c>
      <c r="AF15" s="83">
        <f>AE15-AI13</f>
        <v>0</v>
      </c>
      <c r="AG15" s="65">
        <f t="shared" ref="AG15:AG16" si="47">AG$8+(7*AE15)</f>
        <v>42423</v>
      </c>
      <c r="AH15" s="65">
        <f>AL13+(7*AF15)</f>
        <v>42423</v>
      </c>
      <c r="AI15" s="76"/>
      <c r="AJ15" s="84"/>
      <c r="AK15" s="85"/>
      <c r="AL15" s="85"/>
      <c r="AM15" s="81"/>
      <c r="AN15" s="83">
        <v>16.0</v>
      </c>
      <c r="AO15" s="83">
        <f>AN15-AN16</f>
        <v>4</v>
      </c>
      <c r="AP15" s="65">
        <f t="shared" ref="AP15:AP16" si="48">AP$8+(7*AN15)</f>
        <v>42451</v>
      </c>
      <c r="AQ15" s="65">
        <f>AQ16+(7*AO15)</f>
        <v>42451</v>
      </c>
      <c r="AR15" s="76"/>
      <c r="AS15" s="84"/>
      <c r="AT15" s="85"/>
      <c r="AU15" s="85"/>
      <c r="AV15" s="81"/>
      <c r="AW15" s="81"/>
      <c r="AX15" s="83">
        <f>BB14-4</f>
        <v>20</v>
      </c>
      <c r="AY15" s="83">
        <v>4.0</v>
      </c>
      <c r="AZ15" s="65">
        <f t="shared" ref="AZ15:AZ16" si="49">AZ$8+(7*AX15)</f>
        <v>42479</v>
      </c>
      <c r="BA15" s="65">
        <f>BA16+(7*AY15)</f>
        <v>42479</v>
      </c>
      <c r="BB15" s="76"/>
      <c r="BC15" s="84"/>
      <c r="BD15" s="85"/>
      <c r="BE15" s="85"/>
      <c r="BF15" s="81"/>
      <c r="BG15" s="40" t="s">
        <v>50</v>
      </c>
    </row>
    <row r="16" ht="17.25" customHeight="1" outlineLevel="1">
      <c r="A16" s="69"/>
      <c r="B16" s="86" t="s">
        <v>51</v>
      </c>
      <c r="C16" s="83" t="s">
        <v>52</v>
      </c>
      <c r="D16" s="83" t="str">
        <f>C16-G13</f>
        <v>#VALUE!</v>
      </c>
      <c r="E16" s="65" t="str">
        <f t="shared" si="44"/>
        <v>#VALUE!</v>
      </c>
      <c r="F16" s="65" t="str">
        <f>J13+(7*D16)</f>
        <v>#VALUE!</v>
      </c>
      <c r="G16" s="76"/>
      <c r="H16" s="84"/>
      <c r="I16" s="85"/>
      <c r="J16" s="85"/>
      <c r="K16" s="81"/>
      <c r="L16" s="83" t="s">
        <v>52</v>
      </c>
      <c r="M16" s="83" t="str">
        <f>L16-P13</f>
        <v>#VALUE!</v>
      </c>
      <c r="N16" s="65" t="str">
        <f t="shared" si="45"/>
        <v>#VALUE!</v>
      </c>
      <c r="O16" s="65" t="str">
        <f>S13+(7*M16)</f>
        <v>#VALUE!</v>
      </c>
      <c r="P16" s="76"/>
      <c r="Q16" s="84"/>
      <c r="R16" s="85"/>
      <c r="S16" s="85"/>
      <c r="T16" s="81"/>
      <c r="U16" s="83" t="s">
        <v>52</v>
      </c>
      <c r="V16" s="83" t="str">
        <f>U16-Y13</f>
        <v>#VALUE!</v>
      </c>
      <c r="W16" s="65" t="str">
        <f t="shared" si="46"/>
        <v>#VALUE!</v>
      </c>
      <c r="X16" s="65" t="str">
        <f>AB13+(7*V16)</f>
        <v>#VALUE!</v>
      </c>
      <c r="Y16" s="76"/>
      <c r="Z16" s="84"/>
      <c r="AA16" s="85"/>
      <c r="AB16" s="85"/>
      <c r="AC16" s="81"/>
      <c r="AD16" s="81"/>
      <c r="AE16" s="83" t="s">
        <v>52</v>
      </c>
      <c r="AF16" s="83" t="str">
        <f>AE16-AI13</f>
        <v>#VALUE!</v>
      </c>
      <c r="AG16" s="65" t="str">
        <f t="shared" si="47"/>
        <v>#VALUE!</v>
      </c>
      <c r="AH16" s="65" t="str">
        <f>AL13+(7*AF16)</f>
        <v>#VALUE!</v>
      </c>
      <c r="AI16" s="76"/>
      <c r="AJ16" s="84"/>
      <c r="AK16" s="85"/>
      <c r="AL16" s="85"/>
      <c r="AM16" s="81"/>
      <c r="AN16" s="83">
        <v>12.0</v>
      </c>
      <c r="AO16" s="83">
        <f>AN16-AR13</f>
        <v>0</v>
      </c>
      <c r="AP16" s="65">
        <f t="shared" si="48"/>
        <v>42423</v>
      </c>
      <c r="AQ16" s="65">
        <f>AU13+(7*AO16)</f>
        <v>42423</v>
      </c>
      <c r="AR16" s="76"/>
      <c r="AS16" s="84"/>
      <c r="AT16" s="85"/>
      <c r="AU16" s="85"/>
      <c r="AV16" s="81"/>
      <c r="AW16" s="81"/>
      <c r="AX16" s="83">
        <f>BB14-8</f>
        <v>16</v>
      </c>
      <c r="AY16" s="83">
        <f>AX16-BB13</f>
        <v>4</v>
      </c>
      <c r="AZ16" s="65">
        <f t="shared" si="49"/>
        <v>42451</v>
      </c>
      <c r="BA16" s="65">
        <f>BE13+(7*AY16)</f>
        <v>42451</v>
      </c>
      <c r="BB16" s="76"/>
      <c r="BC16" s="84"/>
      <c r="BD16" s="85"/>
      <c r="BE16" s="85"/>
      <c r="BF16" s="81"/>
      <c r="BG16" s="40" t="s">
        <v>53</v>
      </c>
    </row>
    <row r="17" ht="17.25" customHeight="1">
      <c r="A17" s="69"/>
      <c r="B17" s="70" t="s">
        <v>54</v>
      </c>
      <c r="C17" s="76"/>
      <c r="D17" s="76"/>
      <c r="E17" s="77"/>
      <c r="F17" s="77"/>
      <c r="G17" s="78">
        <v>16.0</v>
      </c>
      <c r="H17" s="79">
        <f>G17-G14</f>
        <v>2</v>
      </c>
      <c r="I17" s="80">
        <f t="shared" ref="I17:I20" si="50">I$8+(7*G17)</f>
        <v>42451</v>
      </c>
      <c r="J17" s="65">
        <f>J14+(7*H17)</f>
        <v>42451</v>
      </c>
      <c r="K17" s="81"/>
      <c r="L17" s="76"/>
      <c r="M17" s="76"/>
      <c r="N17" s="77"/>
      <c r="O17" s="77"/>
      <c r="P17" s="78">
        <v>16.0</v>
      </c>
      <c r="Q17" s="79">
        <f>P17-P14</f>
        <v>2</v>
      </c>
      <c r="R17" s="80">
        <f t="shared" ref="R17:R20" si="51">R$8+(7*P17)</f>
        <v>42451</v>
      </c>
      <c r="S17" s="65">
        <f>S14+(7*Q17)</f>
        <v>42451</v>
      </c>
      <c r="T17" s="81"/>
      <c r="U17" s="76"/>
      <c r="V17" s="76"/>
      <c r="W17" s="77"/>
      <c r="X17" s="77"/>
      <c r="Y17" s="78">
        <v>16.0</v>
      </c>
      <c r="Z17" s="79">
        <f>Y17-Y14</f>
        <v>2</v>
      </c>
      <c r="AA17" s="80">
        <f t="shared" ref="AA17:AA20" si="52">AA$8+(7*Y17)</f>
        <v>42451</v>
      </c>
      <c r="AB17" s="65">
        <f>AB14+(7*Z17)</f>
        <v>42451</v>
      </c>
      <c r="AC17" s="81"/>
      <c r="AD17" s="81"/>
      <c r="AE17" s="76"/>
      <c r="AF17" s="76"/>
      <c r="AG17" s="77"/>
      <c r="AH17" s="77"/>
      <c r="AI17" s="78">
        <v>20.0</v>
      </c>
      <c r="AJ17" s="79">
        <f>AI17-AI14</f>
        <v>4</v>
      </c>
      <c r="AK17" s="80">
        <f t="shared" ref="AK17:AK20" si="53">AK$8+(7*AI17)</f>
        <v>42479</v>
      </c>
      <c r="AL17" s="65">
        <f>AL14+(7*AJ17)</f>
        <v>42479</v>
      </c>
      <c r="AM17" s="81"/>
      <c r="AN17" s="76"/>
      <c r="AO17" s="76"/>
      <c r="AP17" s="77"/>
      <c r="AQ17" s="77"/>
      <c r="AR17" s="78">
        <v>26.0</v>
      </c>
      <c r="AS17" s="79">
        <f>AR17-AR14</f>
        <v>4</v>
      </c>
      <c r="AT17" s="80">
        <f t="shared" ref="AT17:AT20" si="54">AT$8+(7*AR17)</f>
        <v>42521</v>
      </c>
      <c r="AU17" s="65">
        <f>AU14+(7*AS17)</f>
        <v>42521</v>
      </c>
      <c r="AV17" s="81"/>
      <c r="AW17" s="81"/>
      <c r="AX17" s="76"/>
      <c r="AY17" s="76"/>
      <c r="AZ17" s="77"/>
      <c r="BA17" s="77"/>
      <c r="BB17" s="78">
        <v>28.0</v>
      </c>
      <c r="BC17" s="79">
        <f>BB17-BB14</f>
        <v>4</v>
      </c>
      <c r="BD17" s="80">
        <f t="shared" ref="BD17:BD20" si="55">BD$8+(7*BB17)</f>
        <v>42535</v>
      </c>
      <c r="BE17" s="64">
        <f>BE14+(7*BC17)</f>
        <v>42535</v>
      </c>
      <c r="BF17" s="81"/>
      <c r="BG17" s="40" t="s">
        <v>55</v>
      </c>
    </row>
    <row r="18" ht="17.25" customHeight="1">
      <c r="A18" s="69"/>
      <c r="B18" s="75" t="s">
        <v>56</v>
      </c>
      <c r="C18" s="76"/>
      <c r="D18" s="76"/>
      <c r="E18" s="77"/>
      <c r="F18" s="77"/>
      <c r="G18" s="78" t="s">
        <v>52</v>
      </c>
      <c r="H18" s="78" t="s">
        <v>52</v>
      </c>
      <c r="I18" s="80" t="str">
        <f t="shared" si="50"/>
        <v>#VALUE!</v>
      </c>
      <c r="J18" s="65" t="str">
        <f>J14+(H18*7)</f>
        <v>#VALUE!</v>
      </c>
      <c r="K18" s="81"/>
      <c r="L18" s="76"/>
      <c r="M18" s="76"/>
      <c r="N18" s="77"/>
      <c r="O18" s="77"/>
      <c r="P18" s="78" t="s">
        <v>52</v>
      </c>
      <c r="Q18" s="78" t="s">
        <v>52</v>
      </c>
      <c r="R18" s="80" t="str">
        <f t="shared" si="51"/>
        <v>#VALUE!</v>
      </c>
      <c r="S18" s="65" t="str">
        <f>S14+(Q18*7)</f>
        <v>#VALUE!</v>
      </c>
      <c r="T18" s="81"/>
      <c r="U18" s="76">
        <v>16.0</v>
      </c>
      <c r="V18" s="76"/>
      <c r="W18" s="77"/>
      <c r="X18" s="77"/>
      <c r="Y18" s="78">
        <v>16.0</v>
      </c>
      <c r="Z18" s="79">
        <v>2.0</v>
      </c>
      <c r="AA18" s="80">
        <f t="shared" si="52"/>
        <v>42451</v>
      </c>
      <c r="AB18" s="65">
        <f>AB14+(Z18*7)</f>
        <v>42451</v>
      </c>
      <c r="AC18" s="81"/>
      <c r="AD18" s="81"/>
      <c r="AE18" s="76"/>
      <c r="AF18" s="76"/>
      <c r="AG18" s="77"/>
      <c r="AH18" s="77"/>
      <c r="AI18" s="78">
        <v>18.0</v>
      </c>
      <c r="AJ18" s="79">
        <v>2.0</v>
      </c>
      <c r="AK18" s="80">
        <f t="shared" si="53"/>
        <v>42465</v>
      </c>
      <c r="AL18" s="65">
        <f>AL14+(AJ18*7)</f>
        <v>42465</v>
      </c>
      <c r="AM18" s="81"/>
      <c r="AN18" s="76"/>
      <c r="AO18" s="76"/>
      <c r="AP18" s="77"/>
      <c r="AQ18" s="77"/>
      <c r="AR18" s="78">
        <v>24.0</v>
      </c>
      <c r="AS18" s="79">
        <v>2.0</v>
      </c>
      <c r="AT18" s="80">
        <f t="shared" si="54"/>
        <v>42507</v>
      </c>
      <c r="AU18" s="65">
        <f>AU14+(AS18*7)</f>
        <v>42507</v>
      </c>
      <c r="AV18" s="81"/>
      <c r="AW18" s="81"/>
      <c r="AX18" s="76"/>
      <c r="AY18" s="76"/>
      <c r="AZ18" s="77"/>
      <c r="BA18" s="77"/>
      <c r="BB18" s="78">
        <v>26.0</v>
      </c>
      <c r="BC18" s="79">
        <v>2.0</v>
      </c>
      <c r="BD18" s="80">
        <f t="shared" si="55"/>
        <v>42521</v>
      </c>
      <c r="BE18" s="64">
        <f>BE14+(BC18*7)</f>
        <v>42521</v>
      </c>
      <c r="BF18" s="81"/>
      <c r="BG18" s="40" t="s">
        <v>55</v>
      </c>
    </row>
    <row r="19" ht="17.25" customHeight="1">
      <c r="A19" s="69"/>
      <c r="B19" s="75" t="s">
        <v>57</v>
      </c>
      <c r="C19" s="76"/>
      <c r="D19" s="76"/>
      <c r="E19" s="77"/>
      <c r="F19" s="77"/>
      <c r="G19" s="78" t="s">
        <v>52</v>
      </c>
      <c r="H19" s="78" t="s">
        <v>52</v>
      </c>
      <c r="I19" s="80" t="str">
        <f t="shared" si="50"/>
        <v>#VALUE!</v>
      </c>
      <c r="J19" s="65" t="str">
        <f>J18+(H19*7)</f>
        <v>#VALUE!</v>
      </c>
      <c r="K19" s="81"/>
      <c r="L19" s="76"/>
      <c r="M19" s="76"/>
      <c r="N19" s="77"/>
      <c r="O19" s="77"/>
      <c r="P19" s="78" t="s">
        <v>52</v>
      </c>
      <c r="Q19" s="78" t="s">
        <v>52</v>
      </c>
      <c r="R19" s="80" t="str">
        <f t="shared" si="51"/>
        <v>#VALUE!</v>
      </c>
      <c r="S19" s="65" t="str">
        <f>S18+(Q19*7)</f>
        <v>#VALUE!</v>
      </c>
      <c r="T19" s="81"/>
      <c r="U19" s="76">
        <v>20.0</v>
      </c>
      <c r="V19" s="76"/>
      <c r="W19" s="77"/>
      <c r="X19" s="77"/>
      <c r="Y19" s="78">
        <v>20.0</v>
      </c>
      <c r="Z19" s="79">
        <f>Y19-Y18</f>
        <v>4</v>
      </c>
      <c r="AA19" s="80">
        <f t="shared" si="52"/>
        <v>42479</v>
      </c>
      <c r="AB19" s="65">
        <f>AB18+(Z19*7)</f>
        <v>42479</v>
      </c>
      <c r="AC19" s="81"/>
      <c r="AD19" s="81"/>
      <c r="AE19" s="76"/>
      <c r="AF19" s="76"/>
      <c r="AG19" s="77"/>
      <c r="AH19" s="77"/>
      <c r="AI19" s="78">
        <v>24.0</v>
      </c>
      <c r="AJ19" s="79">
        <f>AI19-AI18</f>
        <v>6</v>
      </c>
      <c r="AK19" s="80">
        <f t="shared" si="53"/>
        <v>42507</v>
      </c>
      <c r="AL19" s="65">
        <f>AL18+(AJ19*7)</f>
        <v>42507</v>
      </c>
      <c r="AM19" s="81"/>
      <c r="AN19" s="76"/>
      <c r="AO19" s="76"/>
      <c r="AP19" s="77"/>
      <c r="AQ19" s="77"/>
      <c r="AR19" s="78">
        <v>30.0</v>
      </c>
      <c r="AS19" s="79">
        <f>AR19-AR18</f>
        <v>6</v>
      </c>
      <c r="AT19" s="80">
        <f t="shared" si="54"/>
        <v>42549</v>
      </c>
      <c r="AU19" s="65">
        <f>AU18+(AS19*7)</f>
        <v>42549</v>
      </c>
      <c r="AV19" s="81"/>
      <c r="AW19" s="81"/>
      <c r="AX19" s="76"/>
      <c r="AY19" s="76"/>
      <c r="AZ19" s="77"/>
      <c r="BA19" s="77"/>
      <c r="BB19" s="78">
        <v>32.0</v>
      </c>
      <c r="BC19" s="79">
        <f>BB19-BB18</f>
        <v>6</v>
      </c>
      <c r="BD19" s="80">
        <f t="shared" si="55"/>
        <v>42563</v>
      </c>
      <c r="BE19" s="64">
        <f>BE18+(BC19*7)</f>
        <v>42563</v>
      </c>
      <c r="BF19" s="81"/>
      <c r="BG19" s="40" t="s">
        <v>58</v>
      </c>
    </row>
    <row r="20" ht="17.25" customHeight="1">
      <c r="A20" s="69"/>
      <c r="B20" s="75" t="s">
        <v>59</v>
      </c>
      <c r="C20" s="76"/>
      <c r="D20" s="76"/>
      <c r="E20" s="77"/>
      <c r="F20" s="77"/>
      <c r="G20" s="78">
        <v>18.0</v>
      </c>
      <c r="H20" s="79">
        <f>G20-C23</f>
        <v>2</v>
      </c>
      <c r="I20" s="80">
        <f t="shared" si="50"/>
        <v>42465</v>
      </c>
      <c r="J20" s="65">
        <f>F23+(7*H20)</f>
        <v>42465</v>
      </c>
      <c r="K20" s="81"/>
      <c r="L20" s="76"/>
      <c r="M20" s="76"/>
      <c r="N20" s="77"/>
      <c r="O20" s="77"/>
      <c r="P20" s="78">
        <v>18.0</v>
      </c>
      <c r="Q20" s="79">
        <f>P20-L23</f>
        <v>2</v>
      </c>
      <c r="R20" s="80">
        <f t="shared" si="51"/>
        <v>42465</v>
      </c>
      <c r="S20" s="65">
        <f>O23+(7*Q20)</f>
        <v>42465</v>
      </c>
      <c r="T20" s="81"/>
      <c r="U20" s="76"/>
      <c r="V20" s="76"/>
      <c r="W20" s="77"/>
      <c r="X20" s="77"/>
      <c r="Y20" s="78">
        <v>18.0</v>
      </c>
      <c r="Z20" s="79">
        <f>Y20-U23</f>
        <v>2</v>
      </c>
      <c r="AA20" s="80">
        <f t="shared" si="52"/>
        <v>42465</v>
      </c>
      <c r="AB20" s="65">
        <f>X23+(7*Z20)</f>
        <v>42465</v>
      </c>
      <c r="AC20" s="81"/>
      <c r="AD20" s="81"/>
      <c r="AE20" s="76"/>
      <c r="AF20" s="76"/>
      <c r="AG20" s="77"/>
      <c r="AH20" s="77"/>
      <c r="AI20" s="78">
        <v>24.0</v>
      </c>
      <c r="AJ20" s="79">
        <f>AI20-AE23</f>
        <v>2</v>
      </c>
      <c r="AK20" s="80">
        <f t="shared" si="53"/>
        <v>42507</v>
      </c>
      <c r="AL20" s="65">
        <f>AH23+(7*AJ20)</f>
        <v>42507</v>
      </c>
      <c r="AM20" s="81"/>
      <c r="AN20" s="76"/>
      <c r="AO20" s="76"/>
      <c r="AP20" s="77"/>
      <c r="AQ20" s="77"/>
      <c r="AR20" s="78">
        <v>30.0</v>
      </c>
      <c r="AS20" s="79">
        <f>AR20-AN23</f>
        <v>2</v>
      </c>
      <c r="AT20" s="80">
        <f t="shared" si="54"/>
        <v>42549</v>
      </c>
      <c r="AU20" s="65">
        <f>AQ23+(7*AS20)</f>
        <v>42549</v>
      </c>
      <c r="AV20" s="81"/>
      <c r="AW20" s="81"/>
      <c r="AX20" s="76"/>
      <c r="AY20" s="76"/>
      <c r="AZ20" s="77"/>
      <c r="BA20" s="77"/>
      <c r="BB20" s="78">
        <v>32.0</v>
      </c>
      <c r="BC20" s="79">
        <f>BB20-AX23</f>
        <v>2</v>
      </c>
      <c r="BD20" s="80">
        <f t="shared" si="55"/>
        <v>42563</v>
      </c>
      <c r="BE20" s="64">
        <f>BA23+(7*BC20)</f>
        <v>42563</v>
      </c>
      <c r="BF20" s="81"/>
      <c r="BG20" s="40" t="s">
        <v>60</v>
      </c>
    </row>
    <row r="21" ht="17.25" customHeight="1" outlineLevel="1">
      <c r="A21" s="69"/>
      <c r="B21" s="87" t="s">
        <v>61</v>
      </c>
      <c r="C21" s="83">
        <v>10.0</v>
      </c>
      <c r="D21" s="83">
        <f>C21-G14</f>
        <v>-4</v>
      </c>
      <c r="E21" s="65">
        <f t="shared" ref="E21:E23" si="56">E$8+(7*C21)</f>
        <v>42409</v>
      </c>
      <c r="F21" s="65">
        <f>J14+(7*D21)</f>
        <v>42409</v>
      </c>
      <c r="G21" s="76"/>
      <c r="H21" s="84"/>
      <c r="I21" s="85"/>
      <c r="J21" s="85"/>
      <c r="K21" s="81"/>
      <c r="L21" s="83">
        <v>10.0</v>
      </c>
      <c r="M21" s="83">
        <f>L21-P14</f>
        <v>-4</v>
      </c>
      <c r="N21" s="65">
        <f t="shared" ref="N21:N23" si="57">N$8+(7*L21)</f>
        <v>42409</v>
      </c>
      <c r="O21" s="65">
        <f>S14+(7*M21)</f>
        <v>42409</v>
      </c>
      <c r="P21" s="76"/>
      <c r="Q21" s="84"/>
      <c r="R21" s="85"/>
      <c r="S21" s="85"/>
      <c r="T21" s="81"/>
      <c r="U21" s="83">
        <v>13.0</v>
      </c>
      <c r="V21" s="83">
        <f>U21-Y14</f>
        <v>-1</v>
      </c>
      <c r="W21" s="65">
        <f t="shared" ref="W21:W23" si="58">W$8+(7*U21)</f>
        <v>42430</v>
      </c>
      <c r="X21" s="65">
        <f>AB14+(7*V21)</f>
        <v>42430</v>
      </c>
      <c r="Y21" s="76"/>
      <c r="Z21" s="84"/>
      <c r="AA21" s="85"/>
      <c r="AB21" s="85"/>
      <c r="AC21" s="81"/>
      <c r="AD21" s="81"/>
      <c r="AE21" s="83">
        <v>15.0</v>
      </c>
      <c r="AF21" s="83">
        <f>AE21-AI14</f>
        <v>-1</v>
      </c>
      <c r="AG21" s="65">
        <f t="shared" ref="AG21:AG23" si="59">AG$8+(7*AE21)</f>
        <v>42444</v>
      </c>
      <c r="AH21" s="65">
        <f>AL14+(7*AF21)</f>
        <v>42444</v>
      </c>
      <c r="AI21" s="76"/>
      <c r="AJ21" s="84"/>
      <c r="AK21" s="85"/>
      <c r="AL21" s="85"/>
      <c r="AM21" s="81"/>
      <c r="AN21" s="83">
        <v>22.0</v>
      </c>
      <c r="AO21" s="83">
        <f>AN21-AR14</f>
        <v>0</v>
      </c>
      <c r="AP21" s="65">
        <f t="shared" ref="AP21:AP23" si="60">AP$8+(7*AN21)</f>
        <v>42493</v>
      </c>
      <c r="AQ21" s="65">
        <f>AU14+(7*AO21)</f>
        <v>42493</v>
      </c>
      <c r="AR21" s="76"/>
      <c r="AS21" s="84"/>
      <c r="AT21" s="85"/>
      <c r="AU21" s="85"/>
      <c r="AV21" s="81"/>
      <c r="AW21" s="81"/>
      <c r="AX21" s="83">
        <f t="shared" ref="AX21:AX22" si="61">AX22-4</f>
        <v>22</v>
      </c>
      <c r="AY21" s="83">
        <f>AX21-BB14</f>
        <v>-2</v>
      </c>
      <c r="AZ21" s="65">
        <f t="shared" ref="AZ21:AZ23" si="62">AZ$8+(7*AX21)</f>
        <v>42493</v>
      </c>
      <c r="BA21" s="65">
        <f>BE14+(7*AY21)</f>
        <v>42493</v>
      </c>
      <c r="BB21" s="76"/>
      <c r="BC21" s="84"/>
      <c r="BD21" s="85"/>
      <c r="BE21" s="85"/>
      <c r="BF21" s="81"/>
      <c r="BG21" s="40" t="s">
        <v>55</v>
      </c>
    </row>
    <row r="22" ht="17.25" customHeight="1" outlineLevel="1">
      <c r="A22" s="69"/>
      <c r="B22" s="82" t="s">
        <v>62</v>
      </c>
      <c r="C22" s="83">
        <v>14.0</v>
      </c>
      <c r="D22" s="83">
        <f t="shared" ref="D22:D23" si="63">C22-C21</f>
        <v>4</v>
      </c>
      <c r="E22" s="65">
        <f t="shared" si="56"/>
        <v>42437</v>
      </c>
      <c r="F22" s="65">
        <f t="shared" ref="F22:F23" si="64">F21+(7*D22)</f>
        <v>42437</v>
      </c>
      <c r="G22" s="76"/>
      <c r="H22" s="84"/>
      <c r="I22" s="85"/>
      <c r="J22" s="85"/>
      <c r="K22" s="81"/>
      <c r="L22" s="83">
        <v>14.0</v>
      </c>
      <c r="M22" s="83">
        <f t="shared" ref="M22:M23" si="65">L22-L21</f>
        <v>4</v>
      </c>
      <c r="N22" s="65">
        <f t="shared" si="57"/>
        <v>42437</v>
      </c>
      <c r="O22" s="65">
        <f t="shared" ref="O22:O23" si="66">O21+(7*M22)</f>
        <v>42437</v>
      </c>
      <c r="P22" s="76"/>
      <c r="Q22" s="84"/>
      <c r="R22" s="85"/>
      <c r="S22" s="85"/>
      <c r="T22" s="81"/>
      <c r="U22" s="83">
        <v>14.0</v>
      </c>
      <c r="V22" s="83">
        <f t="shared" ref="V22:V23" si="67">U22-U21</f>
        <v>1</v>
      </c>
      <c r="W22" s="65">
        <f t="shared" si="58"/>
        <v>42437</v>
      </c>
      <c r="X22" s="65">
        <f t="shared" ref="X22:X23" si="68">X21+(7*V22)</f>
        <v>42437</v>
      </c>
      <c r="Y22" s="76"/>
      <c r="Z22" s="84"/>
      <c r="AA22" s="85"/>
      <c r="AB22" s="85"/>
      <c r="AC22" s="81"/>
      <c r="AD22" s="81"/>
      <c r="AE22" s="83">
        <v>20.0</v>
      </c>
      <c r="AF22" s="83">
        <f t="shared" ref="AF22:AF23" si="69">AE22-AE21</f>
        <v>5</v>
      </c>
      <c r="AG22" s="65">
        <f t="shared" si="59"/>
        <v>42479</v>
      </c>
      <c r="AH22" s="65">
        <f t="shared" ref="AH22:AH23" si="70">AH21+(7*AF22)</f>
        <v>42479</v>
      </c>
      <c r="AI22" s="76"/>
      <c r="AJ22" s="84"/>
      <c r="AK22" s="85"/>
      <c r="AL22" s="85"/>
      <c r="AM22" s="81"/>
      <c r="AN22" s="83">
        <v>26.0</v>
      </c>
      <c r="AO22" s="83">
        <f t="shared" ref="AO22:AO23" si="71">AN22-AN21</f>
        <v>4</v>
      </c>
      <c r="AP22" s="65">
        <f t="shared" si="60"/>
        <v>42521</v>
      </c>
      <c r="AQ22" s="65">
        <f t="shared" ref="AQ22:AQ23" si="72">AQ21+(7*AO22)</f>
        <v>42521</v>
      </c>
      <c r="AR22" s="76"/>
      <c r="AS22" s="84"/>
      <c r="AT22" s="85"/>
      <c r="AU22" s="85"/>
      <c r="AV22" s="81"/>
      <c r="AW22" s="81"/>
      <c r="AX22" s="83">
        <f t="shared" si="61"/>
        <v>26</v>
      </c>
      <c r="AY22" s="83">
        <f t="shared" ref="AY22:AY23" si="73">AX22-AX21</f>
        <v>4</v>
      </c>
      <c r="AZ22" s="65">
        <f t="shared" si="62"/>
        <v>42521</v>
      </c>
      <c r="BA22" s="65">
        <f t="shared" ref="BA22:BA23" si="74">BA21+(7*AY22)</f>
        <v>42521</v>
      </c>
      <c r="BB22" s="76"/>
      <c r="BC22" s="84"/>
      <c r="BD22" s="85"/>
      <c r="BE22" s="85"/>
      <c r="BF22" s="81"/>
      <c r="BG22" s="40" t="s">
        <v>63</v>
      </c>
    </row>
    <row r="23" ht="17.25" customHeight="1" outlineLevel="1">
      <c r="A23" s="69"/>
      <c r="B23" s="82" t="s">
        <v>64</v>
      </c>
      <c r="C23" s="83">
        <v>16.0</v>
      </c>
      <c r="D23" s="83">
        <f t="shared" si="63"/>
        <v>2</v>
      </c>
      <c r="E23" s="65">
        <f t="shared" si="56"/>
        <v>42451</v>
      </c>
      <c r="F23" s="65">
        <f t="shared" si="64"/>
        <v>42451</v>
      </c>
      <c r="G23" s="76"/>
      <c r="H23" s="84"/>
      <c r="I23" s="85"/>
      <c r="J23" s="85"/>
      <c r="K23" s="81"/>
      <c r="L23" s="83">
        <v>16.0</v>
      </c>
      <c r="M23" s="83">
        <f t="shared" si="65"/>
        <v>2</v>
      </c>
      <c r="N23" s="65">
        <f t="shared" si="57"/>
        <v>42451</v>
      </c>
      <c r="O23" s="65">
        <f t="shared" si="66"/>
        <v>42451</v>
      </c>
      <c r="P23" s="76"/>
      <c r="Q23" s="84"/>
      <c r="R23" s="85"/>
      <c r="S23" s="85"/>
      <c r="T23" s="81"/>
      <c r="U23" s="83">
        <v>16.0</v>
      </c>
      <c r="V23" s="83">
        <f t="shared" si="67"/>
        <v>2</v>
      </c>
      <c r="W23" s="65">
        <f t="shared" si="58"/>
        <v>42451</v>
      </c>
      <c r="X23" s="65">
        <f t="shared" si="68"/>
        <v>42451</v>
      </c>
      <c r="Y23" s="76"/>
      <c r="Z23" s="84"/>
      <c r="AA23" s="85"/>
      <c r="AB23" s="85"/>
      <c r="AC23" s="81"/>
      <c r="AD23" s="81"/>
      <c r="AE23" s="83">
        <v>22.0</v>
      </c>
      <c r="AF23" s="83">
        <f t="shared" si="69"/>
        <v>2</v>
      </c>
      <c r="AG23" s="65">
        <f t="shared" si="59"/>
        <v>42493</v>
      </c>
      <c r="AH23" s="65">
        <f t="shared" si="70"/>
        <v>42493</v>
      </c>
      <c r="AI23" s="76"/>
      <c r="AJ23" s="84"/>
      <c r="AK23" s="85"/>
      <c r="AL23" s="85"/>
      <c r="AM23" s="81"/>
      <c r="AN23" s="83">
        <v>28.0</v>
      </c>
      <c r="AO23" s="83">
        <f t="shared" si="71"/>
        <v>2</v>
      </c>
      <c r="AP23" s="65">
        <f t="shared" si="60"/>
        <v>42535</v>
      </c>
      <c r="AQ23" s="65">
        <f t="shared" si="72"/>
        <v>42535</v>
      </c>
      <c r="AR23" s="76"/>
      <c r="AS23" s="84"/>
      <c r="AT23" s="85"/>
      <c r="AU23" s="85"/>
      <c r="AV23" s="81"/>
      <c r="AW23" s="81"/>
      <c r="AX23" s="83">
        <f>BB20-2</f>
        <v>30</v>
      </c>
      <c r="AY23" s="83">
        <f t="shared" si="73"/>
        <v>4</v>
      </c>
      <c r="AZ23" s="65">
        <f t="shared" si="62"/>
        <v>42549</v>
      </c>
      <c r="BA23" s="65">
        <f t="shared" si="74"/>
        <v>42549</v>
      </c>
      <c r="BB23" s="76"/>
      <c r="BC23" s="84"/>
      <c r="BD23" s="85"/>
      <c r="BE23" s="85"/>
      <c r="BF23" s="81"/>
      <c r="BG23" s="40" t="s">
        <v>65</v>
      </c>
    </row>
    <row r="24" ht="17.25" customHeight="1">
      <c r="A24" s="69"/>
      <c r="B24" s="70" t="s">
        <v>66</v>
      </c>
      <c r="C24" s="76"/>
      <c r="D24" s="76"/>
      <c r="E24" s="76"/>
      <c r="F24" s="76"/>
      <c r="G24" s="78">
        <v>20.0</v>
      </c>
      <c r="H24" s="79">
        <f>G24-G20</f>
        <v>2</v>
      </c>
      <c r="I24" s="80">
        <f t="shared" ref="I24:I25" si="75">I$8+(7*G24)</f>
        <v>42479</v>
      </c>
      <c r="J24" s="65">
        <f>J20+(7*H24)</f>
        <v>42479</v>
      </c>
      <c r="K24" s="81"/>
      <c r="L24" s="76"/>
      <c r="M24" s="76"/>
      <c r="N24" s="76"/>
      <c r="O24" s="76"/>
      <c r="P24" s="78">
        <v>20.0</v>
      </c>
      <c r="Q24" s="79">
        <f>P24-P20</f>
        <v>2</v>
      </c>
      <c r="R24" s="80">
        <f t="shared" ref="R24:R25" si="76">R$8+(7*P24)</f>
        <v>42479</v>
      </c>
      <c r="S24" s="65">
        <f>S20+(7*Q24)</f>
        <v>42479</v>
      </c>
      <c r="T24" s="81"/>
      <c r="U24" s="76"/>
      <c r="V24" s="76"/>
      <c r="W24" s="76"/>
      <c r="X24" s="76"/>
      <c r="Y24" s="78">
        <v>20.0</v>
      </c>
      <c r="Z24" s="79">
        <f>Y24-Y20</f>
        <v>2</v>
      </c>
      <c r="AA24" s="80">
        <f t="shared" ref="AA24:AA25" si="77">AA$8+(7*Y24)</f>
        <v>42479</v>
      </c>
      <c r="AB24" s="65">
        <f>AB20+(7*Z24)</f>
        <v>42479</v>
      </c>
      <c r="AC24" s="81"/>
      <c r="AD24" s="81"/>
      <c r="AE24" s="76"/>
      <c r="AF24" s="76"/>
      <c r="AG24" s="76"/>
      <c r="AH24" s="76"/>
      <c r="AI24" s="78">
        <v>28.0</v>
      </c>
      <c r="AJ24" s="79">
        <f>AI24-AI20</f>
        <v>4</v>
      </c>
      <c r="AK24" s="80">
        <f t="shared" ref="AK24:AK25" si="78">AK$8+(7*AI24)</f>
        <v>42535</v>
      </c>
      <c r="AL24" s="65">
        <f>AL20+(7*AJ24)</f>
        <v>42535</v>
      </c>
      <c r="AM24" s="81"/>
      <c r="AN24" s="76"/>
      <c r="AO24" s="76"/>
      <c r="AP24" s="76"/>
      <c r="AQ24" s="76"/>
      <c r="AR24" s="78">
        <v>34.0</v>
      </c>
      <c r="AS24" s="79">
        <f>AR24-AR20</f>
        <v>4</v>
      </c>
      <c r="AT24" s="80">
        <f t="shared" ref="AT24:AT25" si="79">AT$8+(7*AR24)</f>
        <v>42577</v>
      </c>
      <c r="AU24" s="65">
        <f>AU20+(7*AS24)</f>
        <v>42577</v>
      </c>
      <c r="AV24" s="81"/>
      <c r="AW24" s="81"/>
      <c r="AX24" s="76"/>
      <c r="AY24" s="76"/>
      <c r="AZ24" s="76"/>
      <c r="BA24" s="76"/>
      <c r="BB24" s="78">
        <v>38.0</v>
      </c>
      <c r="BC24" s="79">
        <f>BB24-BB20</f>
        <v>6</v>
      </c>
      <c r="BD24" s="80">
        <f t="shared" ref="BD24:BD25" si="80">BD$8+(7*BB24)</f>
        <v>42605</v>
      </c>
      <c r="BE24" s="64">
        <f>BE20+(7*BC24)</f>
        <v>42605</v>
      </c>
      <c r="BF24" s="81"/>
      <c r="BG24" s="40" t="s">
        <v>67</v>
      </c>
    </row>
    <row r="25" ht="17.25" customHeight="1">
      <c r="A25" s="69"/>
      <c r="B25" s="75" t="s">
        <v>68</v>
      </c>
      <c r="C25" s="76"/>
      <c r="D25" s="76"/>
      <c r="E25" s="77"/>
      <c r="F25" s="77"/>
      <c r="G25" s="78">
        <v>22.0</v>
      </c>
      <c r="H25" s="79">
        <v>4.0</v>
      </c>
      <c r="I25" s="80">
        <f t="shared" si="75"/>
        <v>42493</v>
      </c>
      <c r="J25" s="65">
        <f>F31+(7*H25)</f>
        <v>42493</v>
      </c>
      <c r="K25" s="81"/>
      <c r="L25" s="76"/>
      <c r="M25" s="76"/>
      <c r="N25" s="77"/>
      <c r="O25" s="77"/>
      <c r="P25" s="78">
        <v>24.0</v>
      </c>
      <c r="Q25" s="79">
        <v>4.0</v>
      </c>
      <c r="R25" s="80">
        <f t="shared" si="76"/>
        <v>42507</v>
      </c>
      <c r="S25" s="65">
        <f>O31+(7*Q25)</f>
        <v>42507</v>
      </c>
      <c r="T25" s="81"/>
      <c r="U25" s="76"/>
      <c r="V25" s="76"/>
      <c r="W25" s="77"/>
      <c r="X25" s="77"/>
      <c r="Y25" s="78">
        <v>26.0</v>
      </c>
      <c r="Z25" s="79">
        <v>4.0</v>
      </c>
      <c r="AA25" s="80">
        <f t="shared" si="77"/>
        <v>42521</v>
      </c>
      <c r="AB25" s="65">
        <f>X31+(7*Z25)</f>
        <v>42521</v>
      </c>
      <c r="AC25" s="81"/>
      <c r="AD25" s="81"/>
      <c r="AE25" s="76"/>
      <c r="AF25" s="76"/>
      <c r="AG25" s="77"/>
      <c r="AH25" s="77"/>
      <c r="AI25" s="78">
        <v>32.0</v>
      </c>
      <c r="AJ25" s="79">
        <v>4.0</v>
      </c>
      <c r="AK25" s="80">
        <f t="shared" si="78"/>
        <v>42563</v>
      </c>
      <c r="AL25" s="65">
        <f>AH31+(7*AJ25)</f>
        <v>42563</v>
      </c>
      <c r="AM25" s="81"/>
      <c r="AN25" s="76"/>
      <c r="AO25" s="76"/>
      <c r="AP25" s="77"/>
      <c r="AQ25" s="77"/>
      <c r="AR25" s="78">
        <v>38.0</v>
      </c>
      <c r="AS25" s="79">
        <v>4.0</v>
      </c>
      <c r="AT25" s="80">
        <f t="shared" si="79"/>
        <v>42605</v>
      </c>
      <c r="AU25" s="65">
        <f>AQ31+(7*AS25)</f>
        <v>42605</v>
      </c>
      <c r="AV25" s="81"/>
      <c r="AW25" s="81"/>
      <c r="AX25" s="76"/>
      <c r="AY25" s="76"/>
      <c r="AZ25" s="77"/>
      <c r="BA25" s="77"/>
      <c r="BB25" s="78">
        <v>40.0</v>
      </c>
      <c r="BC25" s="79">
        <v>4.0</v>
      </c>
      <c r="BD25" s="80">
        <f t="shared" si="80"/>
        <v>42619</v>
      </c>
      <c r="BE25" s="64">
        <f>BA31+(7*BC25)</f>
        <v>42619</v>
      </c>
      <c r="BF25" s="81"/>
      <c r="BG25" s="40" t="s">
        <v>69</v>
      </c>
    </row>
    <row r="26" ht="17.25" customHeight="1" outlineLevel="1">
      <c r="A26" s="69"/>
      <c r="B26" s="86" t="s">
        <v>70</v>
      </c>
      <c r="C26" s="83">
        <v>16.0</v>
      </c>
      <c r="D26" s="83">
        <f>C26-G20</f>
        <v>-2</v>
      </c>
      <c r="E26" s="65">
        <f t="shared" ref="E26:E31" si="81">E$8+(7*C26)</f>
        <v>42451</v>
      </c>
      <c r="F26" s="65">
        <f>J20+(7*D26)</f>
        <v>42451</v>
      </c>
      <c r="G26" s="76"/>
      <c r="H26" s="84"/>
      <c r="I26" s="85"/>
      <c r="J26" s="85"/>
      <c r="K26" s="81"/>
      <c r="L26" s="83">
        <v>18.0</v>
      </c>
      <c r="M26" s="83">
        <f>L26-P20</f>
        <v>0</v>
      </c>
      <c r="N26" s="65">
        <f t="shared" ref="N26:N31" si="82">N$8+(7*L26)</f>
        <v>42465</v>
      </c>
      <c r="O26" s="65">
        <f>S20+(7*M26)</f>
        <v>42465</v>
      </c>
      <c r="P26" s="76"/>
      <c r="Q26" s="84"/>
      <c r="R26" s="85"/>
      <c r="S26" s="85"/>
      <c r="T26" s="81"/>
      <c r="U26" s="83">
        <v>20.0</v>
      </c>
      <c r="V26" s="83">
        <f>U26-Y20</f>
        <v>2</v>
      </c>
      <c r="W26" s="65">
        <f t="shared" ref="W26:W31" si="83">W$8+(7*U26)</f>
        <v>42479</v>
      </c>
      <c r="X26" s="65">
        <f>AB20+(7*V26)</f>
        <v>42479</v>
      </c>
      <c r="Y26" s="76"/>
      <c r="Z26" s="84"/>
      <c r="AA26" s="85"/>
      <c r="AB26" s="85"/>
      <c r="AC26" s="81"/>
      <c r="AD26" s="81"/>
      <c r="AE26" s="83">
        <v>26.0</v>
      </c>
      <c r="AF26" s="83">
        <f>AE26-AI20</f>
        <v>2</v>
      </c>
      <c r="AG26" s="65">
        <f t="shared" ref="AG26:AG31" si="84">AG$8+(7*AE26)</f>
        <v>42521</v>
      </c>
      <c r="AH26" s="65">
        <f>AL20+(7*AF26)</f>
        <v>42521</v>
      </c>
      <c r="AI26" s="76"/>
      <c r="AJ26" s="84"/>
      <c r="AK26" s="85"/>
      <c r="AL26" s="85"/>
      <c r="AM26" s="81"/>
      <c r="AN26" s="83">
        <v>30.0</v>
      </c>
      <c r="AO26" s="83">
        <f>AN26-AR20</f>
        <v>0</v>
      </c>
      <c r="AP26" s="65">
        <f t="shared" ref="AP26:AP31" si="85">AP$8+(7*AN26)</f>
        <v>42549</v>
      </c>
      <c r="AQ26" s="65">
        <f>AU20+(7*AO26)</f>
        <v>42549</v>
      </c>
      <c r="AR26" s="76"/>
      <c r="AS26" s="84"/>
      <c r="AT26" s="85"/>
      <c r="AU26" s="85"/>
      <c r="AV26" s="81"/>
      <c r="AW26" s="81"/>
      <c r="AX26" s="83">
        <f t="shared" ref="AX26:AX27" si="86">AX27-2</f>
        <v>34</v>
      </c>
      <c r="AY26" s="83">
        <f>AX26-BB20</f>
        <v>2</v>
      </c>
      <c r="AZ26" s="65">
        <f t="shared" ref="AZ26:AZ31" si="87">AZ$8+(7*AX26)</f>
        <v>42577</v>
      </c>
      <c r="BA26" s="65">
        <f>BE20+(7*AY26)</f>
        <v>42577</v>
      </c>
      <c r="BB26" s="76"/>
      <c r="BC26" s="84"/>
      <c r="BD26" s="85"/>
      <c r="BE26" s="85"/>
      <c r="BF26" s="81"/>
      <c r="BG26" s="40" t="s">
        <v>67</v>
      </c>
    </row>
    <row r="27" ht="17.25" customHeight="1" outlineLevel="1">
      <c r="A27" s="69"/>
      <c r="B27" s="82" t="s">
        <v>71</v>
      </c>
      <c r="C27" s="83">
        <v>16.0</v>
      </c>
      <c r="D27" s="83">
        <f>C27-G20</f>
        <v>-2</v>
      </c>
      <c r="E27" s="65">
        <f t="shared" si="81"/>
        <v>42451</v>
      </c>
      <c r="F27" s="65">
        <f>J20+(7*D27)</f>
        <v>42451</v>
      </c>
      <c r="G27" s="76"/>
      <c r="H27" s="84"/>
      <c r="I27" s="85"/>
      <c r="J27" s="85"/>
      <c r="K27" s="81"/>
      <c r="L27" s="83">
        <v>18.0</v>
      </c>
      <c r="M27" s="83">
        <f>L27-P20</f>
        <v>0</v>
      </c>
      <c r="N27" s="65">
        <f t="shared" si="82"/>
        <v>42465</v>
      </c>
      <c r="O27" s="65">
        <f>S20+(7*M27)</f>
        <v>42465</v>
      </c>
      <c r="P27" s="76"/>
      <c r="Q27" s="84"/>
      <c r="R27" s="85"/>
      <c r="S27" s="85"/>
      <c r="T27" s="81"/>
      <c r="U27" s="83">
        <v>20.0</v>
      </c>
      <c r="V27" s="83">
        <f>U27-Y20</f>
        <v>2</v>
      </c>
      <c r="W27" s="65">
        <f t="shared" si="83"/>
        <v>42479</v>
      </c>
      <c r="X27" s="65">
        <f>AB20+(7*V27)</f>
        <v>42479</v>
      </c>
      <c r="Y27" s="76"/>
      <c r="Z27" s="84"/>
      <c r="AA27" s="85"/>
      <c r="AB27" s="85"/>
      <c r="AC27" s="81"/>
      <c r="AD27" s="81"/>
      <c r="AE27" s="83">
        <v>26.0</v>
      </c>
      <c r="AF27" s="83">
        <f>AE27-AI20</f>
        <v>2</v>
      </c>
      <c r="AG27" s="65">
        <f t="shared" si="84"/>
        <v>42521</v>
      </c>
      <c r="AH27" s="65">
        <f>AL20+(7*AF27)</f>
        <v>42521</v>
      </c>
      <c r="AI27" s="76"/>
      <c r="AJ27" s="84"/>
      <c r="AK27" s="85"/>
      <c r="AL27" s="85"/>
      <c r="AM27" s="81"/>
      <c r="AN27" s="83">
        <v>32.0</v>
      </c>
      <c r="AO27" s="83">
        <f>AN27-AR20</f>
        <v>2</v>
      </c>
      <c r="AP27" s="65">
        <f t="shared" si="85"/>
        <v>42563</v>
      </c>
      <c r="AQ27" s="65">
        <f>AU20+(7*AO27)</f>
        <v>42563</v>
      </c>
      <c r="AR27" s="76"/>
      <c r="AS27" s="84"/>
      <c r="AT27" s="85"/>
      <c r="AU27" s="85"/>
      <c r="AV27" s="81"/>
      <c r="AW27" s="81"/>
      <c r="AX27" s="83">
        <f t="shared" si="86"/>
        <v>36</v>
      </c>
      <c r="AY27" s="83">
        <f>AX27-BB20</f>
        <v>4</v>
      </c>
      <c r="AZ27" s="65">
        <f t="shared" si="87"/>
        <v>42591</v>
      </c>
      <c r="BA27" s="65">
        <f>BE20+(7*AY27)</f>
        <v>42591</v>
      </c>
      <c r="BB27" s="76"/>
      <c r="BC27" s="84"/>
      <c r="BD27" s="85"/>
      <c r="BE27" s="85"/>
      <c r="BF27" s="81"/>
      <c r="BG27" s="40" t="s">
        <v>67</v>
      </c>
    </row>
    <row r="28" ht="17.25" customHeight="1" outlineLevel="1">
      <c r="A28" s="69"/>
      <c r="B28" s="82" t="s">
        <v>72</v>
      </c>
      <c r="C28" s="83">
        <v>18.0</v>
      </c>
      <c r="D28" s="83">
        <f t="shared" ref="D28:D31" si="88">C28-C27</f>
        <v>2</v>
      </c>
      <c r="E28" s="65">
        <f t="shared" si="81"/>
        <v>42465</v>
      </c>
      <c r="F28" s="65">
        <f t="shared" ref="F28:F31" si="89">F27+(7*D28)</f>
        <v>42465</v>
      </c>
      <c r="G28" s="76"/>
      <c r="H28" s="84"/>
      <c r="I28" s="85"/>
      <c r="J28" s="85"/>
      <c r="K28" s="81"/>
      <c r="L28" s="83">
        <v>20.0</v>
      </c>
      <c r="M28" s="83">
        <f t="shared" ref="M28:M31" si="90">L28-L27</f>
        <v>2</v>
      </c>
      <c r="N28" s="65">
        <f t="shared" si="82"/>
        <v>42479</v>
      </c>
      <c r="O28" s="65">
        <f t="shared" ref="O28:O31" si="91">O27+(7*M28)</f>
        <v>42479</v>
      </c>
      <c r="P28" s="76"/>
      <c r="Q28" s="84"/>
      <c r="R28" s="85"/>
      <c r="S28" s="85"/>
      <c r="T28" s="81"/>
      <c r="U28" s="83">
        <v>22.0</v>
      </c>
      <c r="V28" s="83">
        <f t="shared" ref="V28:V31" si="92">U28-U27</f>
        <v>2</v>
      </c>
      <c r="W28" s="65">
        <f t="shared" si="83"/>
        <v>42493</v>
      </c>
      <c r="X28" s="65">
        <f t="shared" ref="X28:X31" si="93">X27+(7*V28)</f>
        <v>42493</v>
      </c>
      <c r="Y28" s="76"/>
      <c r="Z28" s="84"/>
      <c r="AA28" s="85"/>
      <c r="AB28" s="85"/>
      <c r="AC28" s="81"/>
      <c r="AD28" s="81"/>
      <c r="AE28" s="83">
        <v>28.0</v>
      </c>
      <c r="AF28" s="83">
        <f t="shared" ref="AF28:AF31" si="94">AE28-AE27</f>
        <v>2</v>
      </c>
      <c r="AG28" s="65">
        <f t="shared" si="84"/>
        <v>42535</v>
      </c>
      <c r="AH28" s="65">
        <f t="shared" ref="AH28:AH31" si="95">AH27+(7*AF28)</f>
        <v>42535</v>
      </c>
      <c r="AI28" s="76"/>
      <c r="AJ28" s="84"/>
      <c r="AK28" s="85"/>
      <c r="AL28" s="85"/>
      <c r="AM28" s="81"/>
      <c r="AN28" s="83">
        <v>34.0</v>
      </c>
      <c r="AO28" s="83">
        <f t="shared" ref="AO28:AO31" si="96">AN28-AN27</f>
        <v>2</v>
      </c>
      <c r="AP28" s="65">
        <f t="shared" si="85"/>
        <v>42577</v>
      </c>
      <c r="AQ28" s="65">
        <f t="shared" ref="AQ28:AQ31" si="97">AQ27+(7*AO28)</f>
        <v>42577</v>
      </c>
      <c r="AR28" s="76"/>
      <c r="AS28" s="84"/>
      <c r="AT28" s="85"/>
      <c r="AU28" s="85"/>
      <c r="AV28" s="81"/>
      <c r="AW28" s="81"/>
      <c r="AX28" s="83">
        <f>AX30-2</f>
        <v>38</v>
      </c>
      <c r="AY28" s="83">
        <f t="shared" ref="AY28:AY31" si="98">AX28-AX27</f>
        <v>2</v>
      </c>
      <c r="AZ28" s="65">
        <f t="shared" si="87"/>
        <v>42605</v>
      </c>
      <c r="BA28" s="65">
        <f t="shared" ref="BA28:BA31" si="99">BA27+(7*AY28)</f>
        <v>42605</v>
      </c>
      <c r="BB28" s="76"/>
      <c r="BC28" s="84"/>
      <c r="BD28" s="85"/>
      <c r="BE28" s="85"/>
      <c r="BF28" s="81"/>
      <c r="BG28" s="40" t="s">
        <v>73</v>
      </c>
    </row>
    <row r="29" ht="17.25" customHeight="1" outlineLevel="1">
      <c r="A29" s="69"/>
      <c r="B29" s="82" t="s">
        <v>74</v>
      </c>
      <c r="C29" s="83">
        <v>18.0</v>
      </c>
      <c r="D29" s="83">
        <f t="shared" si="88"/>
        <v>0</v>
      </c>
      <c r="E29" s="65">
        <f t="shared" si="81"/>
        <v>42465</v>
      </c>
      <c r="F29" s="65">
        <f t="shared" si="89"/>
        <v>42465</v>
      </c>
      <c r="G29" s="76"/>
      <c r="H29" s="84"/>
      <c r="I29" s="85"/>
      <c r="J29" s="85"/>
      <c r="K29" s="81"/>
      <c r="L29" s="83">
        <v>20.0</v>
      </c>
      <c r="M29" s="83">
        <f t="shared" si="90"/>
        <v>0</v>
      </c>
      <c r="N29" s="65">
        <f t="shared" si="82"/>
        <v>42479</v>
      </c>
      <c r="O29" s="65">
        <f t="shared" si="91"/>
        <v>42479</v>
      </c>
      <c r="P29" s="76"/>
      <c r="Q29" s="84"/>
      <c r="R29" s="85"/>
      <c r="S29" s="85"/>
      <c r="T29" s="81"/>
      <c r="U29" s="83">
        <v>22.0</v>
      </c>
      <c r="V29" s="83">
        <f t="shared" si="92"/>
        <v>0</v>
      </c>
      <c r="W29" s="65">
        <f t="shared" si="83"/>
        <v>42493</v>
      </c>
      <c r="X29" s="65">
        <f t="shared" si="93"/>
        <v>42493</v>
      </c>
      <c r="Y29" s="76"/>
      <c r="Z29" s="84"/>
      <c r="AA29" s="85"/>
      <c r="AB29" s="85"/>
      <c r="AC29" s="81"/>
      <c r="AD29" s="81"/>
      <c r="AE29" s="83">
        <v>28.0</v>
      </c>
      <c r="AF29" s="83">
        <f t="shared" si="94"/>
        <v>0</v>
      </c>
      <c r="AG29" s="65">
        <f t="shared" si="84"/>
        <v>42535</v>
      </c>
      <c r="AH29" s="65">
        <f t="shared" si="95"/>
        <v>42535</v>
      </c>
      <c r="AI29" s="76"/>
      <c r="AJ29" s="84"/>
      <c r="AK29" s="85"/>
      <c r="AL29" s="85"/>
      <c r="AM29" s="81"/>
      <c r="AN29" s="83">
        <v>32.0</v>
      </c>
      <c r="AO29" s="83">
        <f t="shared" si="96"/>
        <v>-2</v>
      </c>
      <c r="AP29" s="65">
        <f t="shared" si="85"/>
        <v>42563</v>
      </c>
      <c r="AQ29" s="65">
        <f t="shared" si="97"/>
        <v>42563</v>
      </c>
      <c r="AR29" s="76"/>
      <c r="AS29" s="84"/>
      <c r="AT29" s="85"/>
      <c r="AU29" s="85"/>
      <c r="AV29" s="81"/>
      <c r="AW29" s="81"/>
      <c r="AX29" s="83">
        <f>AX30-4</f>
        <v>36</v>
      </c>
      <c r="AY29" s="83">
        <f t="shared" si="98"/>
        <v>-2</v>
      </c>
      <c r="AZ29" s="65">
        <f t="shared" si="87"/>
        <v>42591</v>
      </c>
      <c r="BA29" s="65">
        <f t="shared" si="99"/>
        <v>42591</v>
      </c>
      <c r="BB29" s="76"/>
      <c r="BC29" s="84"/>
      <c r="BD29" s="85"/>
      <c r="BE29" s="85"/>
      <c r="BF29" s="81"/>
      <c r="BG29" s="40" t="s">
        <v>75</v>
      </c>
    </row>
    <row r="30" ht="17.25" customHeight="1" outlineLevel="1">
      <c r="A30" s="69"/>
      <c r="B30" s="82" t="s">
        <v>76</v>
      </c>
      <c r="C30" s="83">
        <v>20.0</v>
      </c>
      <c r="D30" s="83">
        <f t="shared" si="88"/>
        <v>2</v>
      </c>
      <c r="E30" s="65">
        <f t="shared" si="81"/>
        <v>42479</v>
      </c>
      <c r="F30" s="65">
        <f t="shared" si="89"/>
        <v>42479</v>
      </c>
      <c r="G30" s="76"/>
      <c r="H30" s="84"/>
      <c r="I30" s="85"/>
      <c r="J30" s="85"/>
      <c r="K30" s="81"/>
      <c r="L30" s="83">
        <v>22.0</v>
      </c>
      <c r="M30" s="83">
        <f t="shared" si="90"/>
        <v>2</v>
      </c>
      <c r="N30" s="65">
        <f t="shared" si="82"/>
        <v>42493</v>
      </c>
      <c r="O30" s="65">
        <f t="shared" si="91"/>
        <v>42493</v>
      </c>
      <c r="P30" s="76"/>
      <c r="Q30" s="84"/>
      <c r="R30" s="85"/>
      <c r="S30" s="85"/>
      <c r="T30" s="81"/>
      <c r="U30" s="83">
        <v>24.0</v>
      </c>
      <c r="V30" s="83">
        <f t="shared" si="92"/>
        <v>2</v>
      </c>
      <c r="W30" s="65">
        <f t="shared" si="83"/>
        <v>42507</v>
      </c>
      <c r="X30" s="65">
        <f t="shared" si="93"/>
        <v>42507</v>
      </c>
      <c r="Y30" s="76"/>
      <c r="Z30" s="84"/>
      <c r="AA30" s="85"/>
      <c r="AB30" s="85"/>
      <c r="AC30" s="81"/>
      <c r="AD30" s="81"/>
      <c r="AE30" s="83">
        <v>30.0</v>
      </c>
      <c r="AF30" s="83">
        <f t="shared" si="94"/>
        <v>2</v>
      </c>
      <c r="AG30" s="65">
        <f t="shared" si="84"/>
        <v>42549</v>
      </c>
      <c r="AH30" s="65">
        <f t="shared" si="95"/>
        <v>42549</v>
      </c>
      <c r="AI30" s="76"/>
      <c r="AJ30" s="84"/>
      <c r="AK30" s="85"/>
      <c r="AL30" s="85"/>
      <c r="AM30" s="81"/>
      <c r="AN30" s="83">
        <v>36.0</v>
      </c>
      <c r="AO30" s="83">
        <f t="shared" si="96"/>
        <v>4</v>
      </c>
      <c r="AP30" s="65">
        <f t="shared" si="85"/>
        <v>42591</v>
      </c>
      <c r="AQ30" s="65">
        <f t="shared" si="97"/>
        <v>42591</v>
      </c>
      <c r="AR30" s="76"/>
      <c r="AS30" s="84"/>
      <c r="AT30" s="85"/>
      <c r="AU30" s="85"/>
      <c r="AV30" s="81"/>
      <c r="AW30" s="81"/>
      <c r="AX30" s="83">
        <f>BB25</f>
        <v>40</v>
      </c>
      <c r="AY30" s="83">
        <f t="shared" si="98"/>
        <v>4</v>
      </c>
      <c r="AZ30" s="65">
        <f t="shared" si="87"/>
        <v>42619</v>
      </c>
      <c r="BA30" s="65">
        <f t="shared" si="99"/>
        <v>42619</v>
      </c>
      <c r="BB30" s="76"/>
      <c r="BC30" s="84"/>
      <c r="BD30" s="85"/>
      <c r="BE30" s="85"/>
      <c r="BF30" s="81"/>
      <c r="BG30" s="40" t="s">
        <v>77</v>
      </c>
    </row>
    <row r="31" ht="17.25" customHeight="1" outlineLevel="1">
      <c r="A31" s="69"/>
      <c r="B31" s="86" t="s">
        <v>78</v>
      </c>
      <c r="C31" s="83">
        <v>18.0</v>
      </c>
      <c r="D31" s="83">
        <f t="shared" si="88"/>
        <v>-2</v>
      </c>
      <c r="E31" s="65">
        <f t="shared" si="81"/>
        <v>42465</v>
      </c>
      <c r="F31" s="65">
        <f t="shared" si="89"/>
        <v>42465</v>
      </c>
      <c r="G31" s="76"/>
      <c r="H31" s="84"/>
      <c r="I31" s="85"/>
      <c r="J31" s="85"/>
      <c r="K31" s="81"/>
      <c r="L31" s="83">
        <v>20.0</v>
      </c>
      <c r="M31" s="83">
        <f t="shared" si="90"/>
        <v>-2</v>
      </c>
      <c r="N31" s="65">
        <f t="shared" si="82"/>
        <v>42479</v>
      </c>
      <c r="O31" s="65">
        <f t="shared" si="91"/>
        <v>42479</v>
      </c>
      <c r="P31" s="76"/>
      <c r="Q31" s="84"/>
      <c r="R31" s="85"/>
      <c r="S31" s="85"/>
      <c r="T31" s="81"/>
      <c r="U31" s="83">
        <v>22.0</v>
      </c>
      <c r="V31" s="83">
        <f t="shared" si="92"/>
        <v>-2</v>
      </c>
      <c r="W31" s="65">
        <f t="shared" si="83"/>
        <v>42493</v>
      </c>
      <c r="X31" s="65">
        <f t="shared" si="93"/>
        <v>42493</v>
      </c>
      <c r="Y31" s="76"/>
      <c r="Z31" s="84"/>
      <c r="AA31" s="85"/>
      <c r="AB31" s="85"/>
      <c r="AC31" s="81"/>
      <c r="AD31" s="81"/>
      <c r="AE31" s="83">
        <v>28.0</v>
      </c>
      <c r="AF31" s="83">
        <f t="shared" si="94"/>
        <v>-2</v>
      </c>
      <c r="AG31" s="65">
        <f t="shared" si="84"/>
        <v>42535</v>
      </c>
      <c r="AH31" s="65">
        <f t="shared" si="95"/>
        <v>42535</v>
      </c>
      <c r="AI31" s="76"/>
      <c r="AJ31" s="84"/>
      <c r="AK31" s="85"/>
      <c r="AL31" s="85"/>
      <c r="AM31" s="81"/>
      <c r="AN31" s="83">
        <v>34.0</v>
      </c>
      <c r="AO31" s="83">
        <f t="shared" si="96"/>
        <v>-2</v>
      </c>
      <c r="AP31" s="65">
        <f t="shared" si="85"/>
        <v>42577</v>
      </c>
      <c r="AQ31" s="65">
        <f t="shared" si="97"/>
        <v>42577</v>
      </c>
      <c r="AR31" s="76"/>
      <c r="AS31" s="84"/>
      <c r="AT31" s="85"/>
      <c r="AU31" s="85"/>
      <c r="AV31" s="81"/>
      <c r="AW31" s="81"/>
      <c r="AX31" s="83">
        <f>BB25-4</f>
        <v>36</v>
      </c>
      <c r="AY31" s="83">
        <f t="shared" si="98"/>
        <v>-4</v>
      </c>
      <c r="AZ31" s="65">
        <f t="shared" si="87"/>
        <v>42591</v>
      </c>
      <c r="BA31" s="65">
        <f t="shared" si="99"/>
        <v>42591</v>
      </c>
      <c r="BB31" s="76"/>
      <c r="BC31" s="84"/>
      <c r="BD31" s="85"/>
      <c r="BE31" s="85"/>
      <c r="BF31" s="81"/>
      <c r="BG31" s="40" t="s">
        <v>79</v>
      </c>
    </row>
    <row r="32" ht="17.25" customHeight="1">
      <c r="A32" s="69"/>
      <c r="B32" s="70" t="s">
        <v>80</v>
      </c>
      <c r="C32" s="76"/>
      <c r="D32" s="76"/>
      <c r="E32" s="76"/>
      <c r="F32" s="76"/>
      <c r="G32" s="78">
        <v>24.0</v>
      </c>
      <c r="H32" s="79">
        <f>G32-G25</f>
        <v>2</v>
      </c>
      <c r="I32" s="80">
        <f t="shared" ref="I32:I33" si="100">I$8+(7*G32)</f>
        <v>42507</v>
      </c>
      <c r="J32" s="65">
        <f>J25+(7*H32)</f>
        <v>42507</v>
      </c>
      <c r="K32" s="81"/>
      <c r="L32" s="76"/>
      <c r="M32" s="76"/>
      <c r="N32" s="76"/>
      <c r="O32" s="76"/>
      <c r="P32" s="78">
        <v>26.0</v>
      </c>
      <c r="Q32" s="79">
        <f>P32-P25</f>
        <v>2</v>
      </c>
      <c r="R32" s="80">
        <f t="shared" ref="R32:R33" si="101">R$8+(7*P32)</f>
        <v>42521</v>
      </c>
      <c r="S32" s="65">
        <f>S25+(7*Q32)</f>
        <v>42521</v>
      </c>
      <c r="T32" s="81"/>
      <c r="U32" s="76"/>
      <c r="V32" s="76"/>
      <c r="W32" s="76"/>
      <c r="X32" s="76"/>
      <c r="Y32" s="78">
        <v>28.0</v>
      </c>
      <c r="Z32" s="79">
        <f>Y32-Y25</f>
        <v>2</v>
      </c>
      <c r="AA32" s="80">
        <f t="shared" ref="AA32:AA33" si="102">AA$8+(7*Y32)</f>
        <v>42535</v>
      </c>
      <c r="AB32" s="65">
        <f>AB25+(7*Z32)</f>
        <v>42535</v>
      </c>
      <c r="AC32" s="81"/>
      <c r="AD32" s="81"/>
      <c r="AE32" s="76"/>
      <c r="AF32" s="76"/>
      <c r="AG32" s="76"/>
      <c r="AH32" s="76"/>
      <c r="AI32" s="78">
        <v>36.0</v>
      </c>
      <c r="AJ32" s="79">
        <f>AI32-AI25</f>
        <v>4</v>
      </c>
      <c r="AK32" s="80">
        <f t="shared" ref="AK32:AK33" si="103">AK$8+(7*AI32)</f>
        <v>42591</v>
      </c>
      <c r="AL32" s="65">
        <f>AL25+(7*AJ32)</f>
        <v>42591</v>
      </c>
      <c r="AM32" s="81"/>
      <c r="AN32" s="76"/>
      <c r="AO32" s="76"/>
      <c r="AP32" s="76"/>
      <c r="AQ32" s="76"/>
      <c r="AR32" s="78">
        <v>42.0</v>
      </c>
      <c r="AS32" s="79">
        <f>AR32-AR25</f>
        <v>4</v>
      </c>
      <c r="AT32" s="80">
        <f t="shared" ref="AT32:AT33" si="104">AT$8+(7*AR32)</f>
        <v>42633</v>
      </c>
      <c r="AU32" s="65">
        <f>AU25+(7*AS32)</f>
        <v>42633</v>
      </c>
      <c r="AV32" s="81"/>
      <c r="AW32" s="81"/>
      <c r="AX32" s="76"/>
      <c r="AY32" s="76"/>
      <c r="AZ32" s="76"/>
      <c r="BA32" s="76"/>
      <c r="BB32" s="78">
        <v>46.0</v>
      </c>
      <c r="BC32" s="79">
        <f>BB32-BB25</f>
        <v>6</v>
      </c>
      <c r="BD32" s="80">
        <f t="shared" ref="BD32:BD33" si="105">BD$8+(7*BB32)</f>
        <v>42661</v>
      </c>
      <c r="BE32" s="64">
        <f>BE25+(7*BC32)</f>
        <v>42661</v>
      </c>
      <c r="BF32" s="81"/>
      <c r="BG32" s="40" t="s">
        <v>81</v>
      </c>
    </row>
    <row r="33" ht="17.25" customHeight="1">
      <c r="A33" s="69"/>
      <c r="B33" s="75" t="s">
        <v>82</v>
      </c>
      <c r="C33" s="76"/>
      <c r="D33" s="76"/>
      <c r="E33" s="77"/>
      <c r="F33" s="77"/>
      <c r="G33" s="78" t="s">
        <v>52</v>
      </c>
      <c r="H33" s="79" t="str">
        <f>G33-C37</f>
        <v>#VALUE!</v>
      </c>
      <c r="I33" s="80" t="str">
        <f t="shared" si="100"/>
        <v>#VALUE!</v>
      </c>
      <c r="J33" s="65" t="str">
        <f>F37+(7*H33)</f>
        <v>#VALUE!</v>
      </c>
      <c r="K33" s="81"/>
      <c r="L33" s="76"/>
      <c r="M33" s="76"/>
      <c r="N33" s="77"/>
      <c r="O33" s="77"/>
      <c r="P33" s="78">
        <v>28.0</v>
      </c>
      <c r="Q33" s="79">
        <f>P33-L37</f>
        <v>2</v>
      </c>
      <c r="R33" s="80">
        <f t="shared" si="101"/>
        <v>42535</v>
      </c>
      <c r="S33" s="65">
        <f>O37+(7*Q33)</f>
        <v>42535</v>
      </c>
      <c r="T33" s="81"/>
      <c r="U33" s="76"/>
      <c r="V33" s="76"/>
      <c r="W33" s="77"/>
      <c r="X33" s="77"/>
      <c r="Y33" s="78">
        <v>32.0</v>
      </c>
      <c r="Z33" s="79">
        <f>Y33-U37</f>
        <v>2</v>
      </c>
      <c r="AA33" s="80">
        <f t="shared" si="102"/>
        <v>42563</v>
      </c>
      <c r="AB33" s="65">
        <f>X37+(7*Z33)</f>
        <v>42563</v>
      </c>
      <c r="AC33" s="81"/>
      <c r="AD33" s="81"/>
      <c r="AE33" s="76"/>
      <c r="AF33" s="76"/>
      <c r="AG33" s="77"/>
      <c r="AH33" s="77"/>
      <c r="AI33" s="78">
        <v>48.0</v>
      </c>
      <c r="AJ33" s="79">
        <f>AI33-AE37</f>
        <v>2</v>
      </c>
      <c r="AK33" s="80">
        <f t="shared" si="103"/>
        <v>42675</v>
      </c>
      <c r="AL33" s="65">
        <f>AH37+(7*AJ33)</f>
        <v>42675</v>
      </c>
      <c r="AM33" s="81"/>
      <c r="AN33" s="76"/>
      <c r="AO33" s="76"/>
      <c r="AP33" s="77"/>
      <c r="AQ33" s="77"/>
      <c r="AR33" s="78">
        <v>54.0</v>
      </c>
      <c r="AS33" s="79">
        <f>AR33-AN37</f>
        <v>2</v>
      </c>
      <c r="AT33" s="80">
        <f t="shared" si="104"/>
        <v>42717</v>
      </c>
      <c r="AU33" s="65">
        <f>AQ37+(7*AS33)</f>
        <v>42717</v>
      </c>
      <c r="AV33" s="81"/>
      <c r="AW33" s="81"/>
      <c r="AX33" s="76"/>
      <c r="AY33" s="76"/>
      <c r="AZ33" s="77"/>
      <c r="BA33" s="77"/>
      <c r="BB33" s="78">
        <v>64.0</v>
      </c>
      <c r="BC33" s="79">
        <f>BB33-AX37</f>
        <v>4</v>
      </c>
      <c r="BD33" s="80">
        <f t="shared" si="105"/>
        <v>42787</v>
      </c>
      <c r="BE33" s="64">
        <f>BA37+(7*BC33)</f>
        <v>42787</v>
      </c>
      <c r="BF33" s="81"/>
      <c r="BG33" s="40" t="s">
        <v>83</v>
      </c>
    </row>
    <row r="34" ht="17.25" customHeight="1" outlineLevel="1">
      <c r="A34" s="69"/>
      <c r="B34" s="87" t="s">
        <v>84</v>
      </c>
      <c r="C34" s="83" t="s">
        <v>52</v>
      </c>
      <c r="D34" s="83" t="str">
        <f>C34-G25</f>
        <v>#VALUE!</v>
      </c>
      <c r="E34" s="65" t="str">
        <f t="shared" ref="E34:E37" si="106">E$8+(7*C34)</f>
        <v>#VALUE!</v>
      </c>
      <c r="F34" s="65" t="str">
        <f>J25+(7*D34)</f>
        <v>#VALUE!</v>
      </c>
      <c r="G34" s="76"/>
      <c r="H34" s="84"/>
      <c r="I34" s="85"/>
      <c r="J34" s="85"/>
      <c r="K34" s="81"/>
      <c r="L34" s="83">
        <v>22.0</v>
      </c>
      <c r="M34" s="83">
        <f>L34-P25</f>
        <v>-2</v>
      </c>
      <c r="N34" s="65">
        <f t="shared" ref="N34:N37" si="107">N$8+(7*L34)</f>
        <v>42493</v>
      </c>
      <c r="O34" s="65">
        <f>S25+(7*M34)</f>
        <v>42493</v>
      </c>
      <c r="P34" s="76"/>
      <c r="Q34" s="84"/>
      <c r="R34" s="85"/>
      <c r="S34" s="85"/>
      <c r="T34" s="81"/>
      <c r="U34" s="83">
        <v>26.0</v>
      </c>
      <c r="V34" s="83">
        <f>U34-Y25</f>
        <v>0</v>
      </c>
      <c r="W34" s="65">
        <f t="shared" ref="W34:W37" si="108">W$8+(7*U34)</f>
        <v>42521</v>
      </c>
      <c r="X34" s="65">
        <f>AB25+(7*V34)</f>
        <v>42521</v>
      </c>
      <c r="Y34" s="76"/>
      <c r="Z34" s="84"/>
      <c r="AA34" s="85"/>
      <c r="AB34" s="85"/>
      <c r="AC34" s="81"/>
      <c r="AD34" s="81"/>
      <c r="AE34" s="83">
        <v>40.0</v>
      </c>
      <c r="AF34" s="83">
        <f>AE34-AI25</f>
        <v>8</v>
      </c>
      <c r="AG34" s="65">
        <f t="shared" ref="AG34:AG37" si="109">AG$8+(7*AE34)</f>
        <v>42619</v>
      </c>
      <c r="AH34" s="65">
        <f>AL25+(7*AF34)</f>
        <v>42619</v>
      </c>
      <c r="AI34" s="76"/>
      <c r="AJ34" s="84"/>
      <c r="AK34" s="85"/>
      <c r="AL34" s="85"/>
      <c r="AM34" s="81"/>
      <c r="AN34" s="83">
        <v>46.0</v>
      </c>
      <c r="AO34" s="83">
        <f>AN34-AR25</f>
        <v>8</v>
      </c>
      <c r="AP34" s="65">
        <f t="shared" ref="AP34:AP37" si="110">AP$8+(7*AN34)</f>
        <v>42661</v>
      </c>
      <c r="AQ34" s="65">
        <f>AU25+(7*AO34)</f>
        <v>42661</v>
      </c>
      <c r="AR34" s="76"/>
      <c r="AS34" s="84"/>
      <c r="AT34" s="85"/>
      <c r="AU34" s="85"/>
      <c r="AV34" s="81"/>
      <c r="AW34" s="81"/>
      <c r="AX34" s="83">
        <f>AX35-2</f>
        <v>54</v>
      </c>
      <c r="AY34" s="83">
        <f>AX34-BB25</f>
        <v>14</v>
      </c>
      <c r="AZ34" s="65">
        <f t="shared" ref="AZ34:AZ37" si="111">AZ$8+(7*AX34)</f>
        <v>42717</v>
      </c>
      <c r="BA34" s="65">
        <f>BE25+(7*AY34)</f>
        <v>42717</v>
      </c>
      <c r="BB34" s="76"/>
      <c r="BC34" s="84"/>
      <c r="BD34" s="85"/>
      <c r="BE34" s="85"/>
      <c r="BF34" s="81"/>
      <c r="BG34" s="40" t="s">
        <v>81</v>
      </c>
    </row>
    <row r="35" ht="17.25" customHeight="1" outlineLevel="1">
      <c r="A35" s="69"/>
      <c r="B35" s="82" t="s">
        <v>85</v>
      </c>
      <c r="C35" s="83" t="s">
        <v>52</v>
      </c>
      <c r="D35" s="83" t="str">
        <f t="shared" ref="D35:D37" si="112">C35-C34</f>
        <v>#VALUE!</v>
      </c>
      <c r="E35" s="65" t="str">
        <f t="shared" si="106"/>
        <v>#VALUE!</v>
      </c>
      <c r="F35" s="65" t="str">
        <f t="shared" ref="F35:F37" si="113">F34+(7*D35)</f>
        <v>#VALUE!</v>
      </c>
      <c r="G35" s="76"/>
      <c r="H35" s="84"/>
      <c r="I35" s="85"/>
      <c r="J35" s="85"/>
      <c r="K35" s="81"/>
      <c r="L35" s="83">
        <v>24.0</v>
      </c>
      <c r="M35" s="83">
        <f t="shared" ref="M35:M37" si="114">L35-L34</f>
        <v>2</v>
      </c>
      <c r="N35" s="65">
        <f t="shared" si="107"/>
        <v>42507</v>
      </c>
      <c r="O35" s="65">
        <f t="shared" ref="O35:O37" si="115">O34+(7*M35)</f>
        <v>42507</v>
      </c>
      <c r="P35" s="76"/>
      <c r="Q35" s="84"/>
      <c r="R35" s="85"/>
      <c r="S35" s="85"/>
      <c r="T35" s="81"/>
      <c r="U35" s="83">
        <v>28.0</v>
      </c>
      <c r="V35" s="83">
        <f t="shared" ref="V35:V37" si="116">U35-U34</f>
        <v>2</v>
      </c>
      <c r="W35" s="65">
        <f t="shared" si="108"/>
        <v>42535</v>
      </c>
      <c r="X35" s="65">
        <f t="shared" ref="X35:X37" si="117">X34+(7*V35)</f>
        <v>42535</v>
      </c>
      <c r="Y35" s="76"/>
      <c r="Z35" s="84"/>
      <c r="AA35" s="85"/>
      <c r="AB35" s="85"/>
      <c r="AC35" s="81"/>
      <c r="AD35" s="81"/>
      <c r="AE35" s="83">
        <v>42.0</v>
      </c>
      <c r="AF35" s="83">
        <f t="shared" ref="AF35:AF37" si="118">AE35-AE34</f>
        <v>2</v>
      </c>
      <c r="AG35" s="65">
        <f t="shared" si="109"/>
        <v>42633</v>
      </c>
      <c r="AH35" s="65">
        <f t="shared" ref="AH35:AH37" si="119">AH34+(7*AF35)</f>
        <v>42633</v>
      </c>
      <c r="AI35" s="76"/>
      <c r="AJ35" s="84"/>
      <c r="AK35" s="85"/>
      <c r="AL35" s="85"/>
      <c r="AM35" s="81"/>
      <c r="AN35" s="83">
        <v>48.0</v>
      </c>
      <c r="AO35" s="83">
        <f t="shared" ref="AO35:AO37" si="120">AN35-AN34</f>
        <v>2</v>
      </c>
      <c r="AP35" s="65">
        <f t="shared" si="110"/>
        <v>42675</v>
      </c>
      <c r="AQ35" s="65">
        <f t="shared" ref="AQ35:AQ37" si="121">AQ34+(7*AO35)</f>
        <v>42675</v>
      </c>
      <c r="AR35" s="76"/>
      <c r="AS35" s="84"/>
      <c r="AT35" s="85"/>
      <c r="AU35" s="85"/>
      <c r="AV35" s="81"/>
      <c r="AW35" s="81"/>
      <c r="AX35" s="83">
        <f>AX36-6</f>
        <v>56</v>
      </c>
      <c r="AY35" s="83">
        <f t="shared" ref="AY35:AY37" si="122">AX35-AX34</f>
        <v>2</v>
      </c>
      <c r="AZ35" s="65">
        <f t="shared" si="111"/>
        <v>42731</v>
      </c>
      <c r="BA35" s="65">
        <f t="shared" ref="BA35:BA37" si="123">BA34+(7*AY35)</f>
        <v>42731</v>
      </c>
      <c r="BB35" s="76"/>
      <c r="BC35" s="84"/>
      <c r="BD35" s="85"/>
      <c r="BE35" s="85"/>
      <c r="BF35" s="81"/>
      <c r="BG35" s="40" t="s">
        <v>86</v>
      </c>
    </row>
    <row r="36" ht="17.25" customHeight="1" outlineLevel="1">
      <c r="A36" s="69"/>
      <c r="B36" s="82" t="s">
        <v>87</v>
      </c>
      <c r="C36" s="83" t="s">
        <v>52</v>
      </c>
      <c r="D36" s="83" t="str">
        <f t="shared" si="112"/>
        <v>#VALUE!</v>
      </c>
      <c r="E36" s="65" t="str">
        <f t="shared" si="106"/>
        <v>#VALUE!</v>
      </c>
      <c r="F36" s="65" t="str">
        <f t="shared" si="113"/>
        <v>#VALUE!</v>
      </c>
      <c r="G36" s="76"/>
      <c r="H36" s="84"/>
      <c r="I36" s="85"/>
      <c r="J36" s="85"/>
      <c r="K36" s="81"/>
      <c r="L36" s="83">
        <v>26.0</v>
      </c>
      <c r="M36" s="83">
        <f t="shared" si="114"/>
        <v>2</v>
      </c>
      <c r="N36" s="65">
        <f t="shared" si="107"/>
        <v>42521</v>
      </c>
      <c r="O36" s="65">
        <f t="shared" si="115"/>
        <v>42521</v>
      </c>
      <c r="P36" s="76"/>
      <c r="Q36" s="84"/>
      <c r="R36" s="85"/>
      <c r="S36" s="85"/>
      <c r="T36" s="81"/>
      <c r="U36" s="83">
        <v>30.0</v>
      </c>
      <c r="V36" s="83">
        <f t="shared" si="116"/>
        <v>2</v>
      </c>
      <c r="W36" s="65">
        <f t="shared" si="108"/>
        <v>42549</v>
      </c>
      <c r="X36" s="65">
        <f t="shared" si="117"/>
        <v>42549</v>
      </c>
      <c r="Y36" s="76"/>
      <c r="Z36" s="84"/>
      <c r="AA36" s="85"/>
      <c r="AB36" s="85"/>
      <c r="AC36" s="81"/>
      <c r="AD36" s="81"/>
      <c r="AE36" s="83">
        <v>46.0</v>
      </c>
      <c r="AF36" s="83">
        <f t="shared" si="118"/>
        <v>4</v>
      </c>
      <c r="AG36" s="65">
        <f t="shared" si="109"/>
        <v>42661</v>
      </c>
      <c r="AH36" s="65">
        <f t="shared" si="119"/>
        <v>42661</v>
      </c>
      <c r="AI36" s="76"/>
      <c r="AJ36" s="84"/>
      <c r="AK36" s="85"/>
      <c r="AL36" s="85"/>
      <c r="AM36" s="81"/>
      <c r="AN36" s="83">
        <v>52.0</v>
      </c>
      <c r="AO36" s="83">
        <f t="shared" si="120"/>
        <v>4</v>
      </c>
      <c r="AP36" s="65">
        <f t="shared" si="110"/>
        <v>42703</v>
      </c>
      <c r="AQ36" s="65">
        <f t="shared" si="121"/>
        <v>42703</v>
      </c>
      <c r="AR36" s="76"/>
      <c r="AS36" s="84"/>
      <c r="AT36" s="85"/>
      <c r="AU36" s="85"/>
      <c r="AV36" s="81"/>
      <c r="AW36" s="81"/>
      <c r="AX36" s="83">
        <f>BB33-2</f>
        <v>62</v>
      </c>
      <c r="AY36" s="83">
        <f t="shared" si="122"/>
        <v>6</v>
      </c>
      <c r="AZ36" s="65">
        <f t="shared" si="111"/>
        <v>42773</v>
      </c>
      <c r="BA36" s="65">
        <f t="shared" si="123"/>
        <v>42773</v>
      </c>
      <c r="BB36" s="76"/>
      <c r="BC36" s="84"/>
      <c r="BD36" s="85"/>
      <c r="BE36" s="85"/>
      <c r="BF36" s="81"/>
      <c r="BG36" s="40" t="s">
        <v>88</v>
      </c>
    </row>
    <row r="37" ht="17.25" customHeight="1" outlineLevel="1">
      <c r="A37" s="69"/>
      <c r="B37" s="86" t="s">
        <v>89</v>
      </c>
      <c r="C37" s="83" t="s">
        <v>52</v>
      </c>
      <c r="D37" s="83" t="str">
        <f t="shared" si="112"/>
        <v>#VALUE!</v>
      </c>
      <c r="E37" s="65" t="str">
        <f t="shared" si="106"/>
        <v>#VALUE!</v>
      </c>
      <c r="F37" s="65" t="str">
        <f t="shared" si="113"/>
        <v>#VALUE!</v>
      </c>
      <c r="G37" s="76"/>
      <c r="H37" s="84"/>
      <c r="I37" s="85"/>
      <c r="J37" s="85"/>
      <c r="K37" s="81"/>
      <c r="L37" s="83">
        <v>26.0</v>
      </c>
      <c r="M37" s="83">
        <f t="shared" si="114"/>
        <v>0</v>
      </c>
      <c r="N37" s="65">
        <f t="shared" si="107"/>
        <v>42521</v>
      </c>
      <c r="O37" s="65">
        <f t="shared" si="115"/>
        <v>42521</v>
      </c>
      <c r="P37" s="76"/>
      <c r="Q37" s="84"/>
      <c r="R37" s="85"/>
      <c r="S37" s="85"/>
      <c r="T37" s="81"/>
      <c r="U37" s="83">
        <v>30.0</v>
      </c>
      <c r="V37" s="83">
        <f t="shared" si="116"/>
        <v>0</v>
      </c>
      <c r="W37" s="65">
        <f t="shared" si="108"/>
        <v>42549</v>
      </c>
      <c r="X37" s="65">
        <f t="shared" si="117"/>
        <v>42549</v>
      </c>
      <c r="Y37" s="76"/>
      <c r="Z37" s="84"/>
      <c r="AA37" s="85"/>
      <c r="AB37" s="85"/>
      <c r="AC37" s="81"/>
      <c r="AD37" s="81"/>
      <c r="AE37" s="83">
        <v>46.0</v>
      </c>
      <c r="AF37" s="83">
        <f t="shared" si="118"/>
        <v>0</v>
      </c>
      <c r="AG37" s="65">
        <f t="shared" si="109"/>
        <v>42661</v>
      </c>
      <c r="AH37" s="65">
        <f t="shared" si="119"/>
        <v>42661</v>
      </c>
      <c r="AI37" s="76"/>
      <c r="AJ37" s="84"/>
      <c r="AK37" s="85"/>
      <c r="AL37" s="85"/>
      <c r="AM37" s="81"/>
      <c r="AN37" s="83">
        <v>52.0</v>
      </c>
      <c r="AO37" s="83">
        <f t="shared" si="120"/>
        <v>0</v>
      </c>
      <c r="AP37" s="65">
        <f t="shared" si="110"/>
        <v>42703</v>
      </c>
      <c r="AQ37" s="65">
        <f t="shared" si="121"/>
        <v>42703</v>
      </c>
      <c r="AR37" s="76"/>
      <c r="AS37" s="84"/>
      <c r="AT37" s="85"/>
      <c r="AU37" s="85"/>
      <c r="AV37" s="81"/>
      <c r="AW37" s="81"/>
      <c r="AX37" s="83">
        <f>BB33-4</f>
        <v>60</v>
      </c>
      <c r="AY37" s="83">
        <f t="shared" si="122"/>
        <v>-2</v>
      </c>
      <c r="AZ37" s="65">
        <f t="shared" si="111"/>
        <v>42759</v>
      </c>
      <c r="BA37" s="65">
        <f t="shared" si="123"/>
        <v>42759</v>
      </c>
      <c r="BB37" s="76"/>
      <c r="BC37" s="84"/>
      <c r="BD37" s="85"/>
      <c r="BE37" s="85"/>
      <c r="BF37" s="81"/>
      <c r="BG37" s="40" t="s">
        <v>90</v>
      </c>
    </row>
    <row r="38" ht="17.25" customHeight="1">
      <c r="A38" s="69"/>
      <c r="B38" s="70" t="s">
        <v>91</v>
      </c>
      <c r="C38" s="76"/>
      <c r="D38" s="76"/>
      <c r="E38" s="76"/>
      <c r="F38" s="76"/>
      <c r="G38" s="78" t="s">
        <v>52</v>
      </c>
      <c r="H38" s="79" t="str">
        <f>G38-G33</f>
        <v>#VALUE!</v>
      </c>
      <c r="I38" s="80" t="str">
        <f t="shared" ref="I38:I45" si="124">I$8+(7*G38)</f>
        <v>#VALUE!</v>
      </c>
      <c r="J38" s="65" t="str">
        <f>J33+(7*H38)</f>
        <v>#VALUE!</v>
      </c>
      <c r="K38" s="81"/>
      <c r="L38" s="76"/>
      <c r="M38" s="76"/>
      <c r="N38" s="76"/>
      <c r="O38" s="76"/>
      <c r="P38" s="78">
        <v>30.0</v>
      </c>
      <c r="Q38" s="79">
        <f>P38-P33</f>
        <v>2</v>
      </c>
      <c r="R38" s="80">
        <f t="shared" ref="R38:R45" si="125">R$8+(7*P38)</f>
        <v>42549</v>
      </c>
      <c r="S38" s="65">
        <f>S33+(7*Q38)</f>
        <v>42549</v>
      </c>
      <c r="T38" s="81"/>
      <c r="U38" s="76"/>
      <c r="V38" s="76"/>
      <c r="W38" s="76"/>
      <c r="X38" s="76"/>
      <c r="Y38" s="78">
        <v>34.0</v>
      </c>
      <c r="Z38" s="79">
        <f>Y38-Y33</f>
        <v>2</v>
      </c>
      <c r="AA38" s="80">
        <f t="shared" ref="AA38:AA45" si="126">AA$8+(7*Y38)</f>
        <v>42577</v>
      </c>
      <c r="AB38" s="65">
        <f>AB33+(7*Z38)</f>
        <v>42577</v>
      </c>
      <c r="AC38" s="81"/>
      <c r="AD38" s="81"/>
      <c r="AE38" s="76"/>
      <c r="AF38" s="76"/>
      <c r="AG38" s="76"/>
      <c r="AH38" s="76"/>
      <c r="AI38" s="78">
        <v>52.0</v>
      </c>
      <c r="AJ38" s="79">
        <f>AI38-AI33</f>
        <v>4</v>
      </c>
      <c r="AK38" s="80">
        <f t="shared" ref="AK38:AK45" si="127">AK$8+(7*AI38)</f>
        <v>42703</v>
      </c>
      <c r="AL38" s="65">
        <f>AL33+(7*AJ38)</f>
        <v>42703</v>
      </c>
      <c r="AM38" s="81"/>
      <c r="AN38" s="76"/>
      <c r="AO38" s="76"/>
      <c r="AP38" s="76"/>
      <c r="AQ38" s="76"/>
      <c r="AR38" s="78">
        <v>58.0</v>
      </c>
      <c r="AS38" s="79">
        <f>AR38-AR33</f>
        <v>4</v>
      </c>
      <c r="AT38" s="80">
        <f t="shared" ref="AT38:AT45" si="128">AT$8+(7*AR38)</f>
        <v>42745</v>
      </c>
      <c r="AU38" s="65">
        <f>AU33+(7*AS38)</f>
        <v>42745</v>
      </c>
      <c r="AV38" s="81"/>
      <c r="AW38" s="81"/>
      <c r="AX38" s="76"/>
      <c r="AY38" s="76"/>
      <c r="AZ38" s="76"/>
      <c r="BA38" s="76"/>
      <c r="BB38" s="78">
        <v>68.0</v>
      </c>
      <c r="BC38" s="79">
        <f>BB38-BB33</f>
        <v>4</v>
      </c>
      <c r="BD38" s="80">
        <f t="shared" ref="BD38:BD45" si="129">BD$8+(7*BB38)</f>
        <v>42815</v>
      </c>
      <c r="BE38" s="64">
        <f>BE33+(7*BC38)</f>
        <v>42815</v>
      </c>
      <c r="BF38" s="81"/>
      <c r="BG38" s="40" t="s">
        <v>92</v>
      </c>
    </row>
    <row r="39" ht="17.25" customHeight="1">
      <c r="A39" s="69"/>
      <c r="B39" s="75" t="s">
        <v>93</v>
      </c>
      <c r="C39" s="76"/>
      <c r="D39" s="76"/>
      <c r="E39" s="77"/>
      <c r="F39" s="77"/>
      <c r="G39" s="78">
        <v>30.0</v>
      </c>
      <c r="H39" s="79">
        <f>G39-G25</f>
        <v>8</v>
      </c>
      <c r="I39" s="80">
        <f t="shared" si="124"/>
        <v>42549</v>
      </c>
      <c r="J39" s="65">
        <f>J25+(7*H39)</f>
        <v>42549</v>
      </c>
      <c r="K39" s="81"/>
      <c r="L39" s="76"/>
      <c r="M39" s="76"/>
      <c r="N39" s="77"/>
      <c r="O39" s="77"/>
      <c r="P39" s="78">
        <v>36.0</v>
      </c>
      <c r="Q39" s="79">
        <f>P39-P33</f>
        <v>8</v>
      </c>
      <c r="R39" s="80">
        <f t="shared" si="125"/>
        <v>42591</v>
      </c>
      <c r="S39" s="65">
        <f>S33+(7*Q39)</f>
        <v>42591</v>
      </c>
      <c r="T39" s="81"/>
      <c r="U39" s="76"/>
      <c r="V39" s="76"/>
      <c r="W39" s="77"/>
      <c r="X39" s="77"/>
      <c r="Y39" s="78">
        <v>40.0</v>
      </c>
      <c r="Z39" s="79">
        <f>Y39-Y33</f>
        <v>8</v>
      </c>
      <c r="AA39" s="80">
        <f t="shared" si="126"/>
        <v>42619</v>
      </c>
      <c r="AB39" s="65">
        <f>AB33+(7*Z39)</f>
        <v>42619</v>
      </c>
      <c r="AC39" s="81"/>
      <c r="AD39" s="81"/>
      <c r="AE39" s="76"/>
      <c r="AF39" s="76"/>
      <c r="AG39" s="77"/>
      <c r="AH39" s="77"/>
      <c r="AI39" s="78">
        <v>44.0</v>
      </c>
      <c r="AJ39" s="79">
        <f>AI39-AI33</f>
        <v>-4</v>
      </c>
      <c r="AK39" s="80">
        <f t="shared" si="127"/>
        <v>42647</v>
      </c>
      <c r="AL39" s="65">
        <f>AL33+(7*AJ39)</f>
        <v>42647</v>
      </c>
      <c r="AM39" s="81"/>
      <c r="AN39" s="76"/>
      <c r="AO39" s="76"/>
      <c r="AP39" s="77"/>
      <c r="AQ39" s="77"/>
      <c r="AR39" s="78">
        <v>52.0</v>
      </c>
      <c r="AS39" s="79">
        <f>AR39-AR33</f>
        <v>-2</v>
      </c>
      <c r="AT39" s="80">
        <f t="shared" si="128"/>
        <v>42703</v>
      </c>
      <c r="AU39" s="65">
        <f>AU33+(7*AS39)</f>
        <v>42703</v>
      </c>
      <c r="AV39" s="81"/>
      <c r="AW39" s="81"/>
      <c r="AX39" s="76"/>
      <c r="AY39" s="76"/>
      <c r="AZ39" s="77"/>
      <c r="BA39" s="77"/>
      <c r="BB39" s="78">
        <v>52.0</v>
      </c>
      <c r="BC39" s="79">
        <f>BB39-BB33</f>
        <v>-12</v>
      </c>
      <c r="BD39" s="80">
        <f t="shared" si="129"/>
        <v>42703</v>
      </c>
      <c r="BE39" s="64">
        <f>BE33+(7*BC39)</f>
        <v>42703</v>
      </c>
      <c r="BF39" s="81"/>
      <c r="BG39" s="40" t="s">
        <v>92</v>
      </c>
    </row>
    <row r="40" ht="17.25" customHeight="1">
      <c r="A40" s="69"/>
      <c r="B40" s="75" t="s">
        <v>94</v>
      </c>
      <c r="C40" s="76"/>
      <c r="D40" s="76"/>
      <c r="E40" s="77"/>
      <c r="F40" s="77"/>
      <c r="G40" s="78" t="s">
        <v>52</v>
      </c>
      <c r="H40" s="79" t="str">
        <f>G40-G33</f>
        <v>#VALUE!</v>
      </c>
      <c r="I40" s="80" t="str">
        <f t="shared" si="124"/>
        <v>#VALUE!</v>
      </c>
      <c r="J40" s="65" t="str">
        <f>J33+(7*H40)</f>
        <v>#VALUE!</v>
      </c>
      <c r="K40" s="81"/>
      <c r="L40" s="76"/>
      <c r="M40" s="76"/>
      <c r="N40" s="77"/>
      <c r="O40" s="77"/>
      <c r="P40" s="78" t="s">
        <v>52</v>
      </c>
      <c r="Q40" s="79" t="str">
        <f>P40-P33</f>
        <v>#VALUE!</v>
      </c>
      <c r="R40" s="80" t="str">
        <f t="shared" si="125"/>
        <v>#VALUE!</v>
      </c>
      <c r="S40" s="65" t="str">
        <f>S33+(7*Q40)</f>
        <v>#VALUE!</v>
      </c>
      <c r="T40" s="81"/>
      <c r="U40" s="76"/>
      <c r="V40" s="76"/>
      <c r="W40" s="77"/>
      <c r="X40" s="77"/>
      <c r="Y40" s="78" t="s">
        <v>52</v>
      </c>
      <c r="Z40" s="79" t="str">
        <f>Y40-Y33</f>
        <v>#VALUE!</v>
      </c>
      <c r="AA40" s="80" t="str">
        <f t="shared" si="126"/>
        <v>#VALUE!</v>
      </c>
      <c r="AB40" s="65" t="str">
        <f>AB33+(7*Z40)</f>
        <v>#VALUE!</v>
      </c>
      <c r="AC40" s="81"/>
      <c r="AD40" s="81"/>
      <c r="AE40" s="76"/>
      <c r="AF40" s="76"/>
      <c r="AG40" s="77"/>
      <c r="AH40" s="77"/>
      <c r="AI40" s="78">
        <v>74.0</v>
      </c>
      <c r="AJ40" s="79">
        <f>AI40-AI33</f>
        <v>26</v>
      </c>
      <c r="AK40" s="80">
        <f t="shared" si="127"/>
        <v>42857</v>
      </c>
      <c r="AL40" s="65">
        <f>AL33+(7*AJ40)</f>
        <v>42857</v>
      </c>
      <c r="AM40" s="81"/>
      <c r="AN40" s="76"/>
      <c r="AO40" s="76"/>
      <c r="AP40" s="77"/>
      <c r="AQ40" s="77"/>
      <c r="AR40" s="78">
        <v>82.0</v>
      </c>
      <c r="AS40" s="79">
        <f>AR40-AR33</f>
        <v>28</v>
      </c>
      <c r="AT40" s="80">
        <f t="shared" si="128"/>
        <v>42913</v>
      </c>
      <c r="AU40" s="65">
        <f>AU33+(7*AS40)</f>
        <v>42913</v>
      </c>
      <c r="AV40" s="81"/>
      <c r="AW40" s="81"/>
      <c r="AX40" s="76"/>
      <c r="AY40" s="76"/>
      <c r="AZ40" s="77"/>
      <c r="BA40" s="77"/>
      <c r="BB40" s="78">
        <v>82.0</v>
      </c>
      <c r="BC40" s="79">
        <f>BB40-BB33</f>
        <v>18</v>
      </c>
      <c r="BD40" s="80">
        <f t="shared" si="129"/>
        <v>42913</v>
      </c>
      <c r="BE40" s="64">
        <f>BE33+(7*BC40)</f>
        <v>42913</v>
      </c>
      <c r="BF40" s="81"/>
      <c r="BG40" s="40" t="s">
        <v>92</v>
      </c>
    </row>
    <row r="41" ht="17.25" customHeight="1">
      <c r="A41" s="69"/>
      <c r="B41" s="75" t="s">
        <v>95</v>
      </c>
      <c r="C41" s="76"/>
      <c r="D41" s="76"/>
      <c r="E41" s="77"/>
      <c r="F41" s="77"/>
      <c r="G41" s="78">
        <v>38.0</v>
      </c>
      <c r="H41" s="79">
        <f>G41-G48</f>
        <v>2</v>
      </c>
      <c r="I41" s="80">
        <f t="shared" si="124"/>
        <v>42605</v>
      </c>
      <c r="J41" s="65">
        <f>J48+(7*H41)</f>
        <v>42605</v>
      </c>
      <c r="K41" s="81"/>
      <c r="L41" s="76"/>
      <c r="M41" s="76"/>
      <c r="N41" s="77"/>
      <c r="O41" s="77"/>
      <c r="P41" s="78">
        <v>42.0</v>
      </c>
      <c r="Q41" s="79">
        <f>P41-P48</f>
        <v>2</v>
      </c>
      <c r="R41" s="80">
        <f t="shared" si="125"/>
        <v>42633</v>
      </c>
      <c r="S41" s="65">
        <f>S48+(7*Q41)</f>
        <v>42633</v>
      </c>
      <c r="T41" s="81"/>
      <c r="U41" s="76"/>
      <c r="V41" s="76"/>
      <c r="W41" s="77"/>
      <c r="X41" s="77"/>
      <c r="Y41" s="78">
        <v>58.0</v>
      </c>
      <c r="Z41" s="79">
        <f>Y41-Y48</f>
        <v>2</v>
      </c>
      <c r="AA41" s="80">
        <f t="shared" si="126"/>
        <v>42745</v>
      </c>
      <c r="AB41" s="65">
        <f>AB48+(7*Z41)</f>
        <v>42745</v>
      </c>
      <c r="AC41" s="81"/>
      <c r="AD41" s="81"/>
      <c r="AE41" s="76"/>
      <c r="AF41" s="76"/>
      <c r="AG41" s="77"/>
      <c r="AH41" s="77"/>
      <c r="AI41" s="78">
        <v>71.0</v>
      </c>
      <c r="AJ41" s="79">
        <f>AI41-AI48</f>
        <v>2</v>
      </c>
      <c r="AK41" s="80">
        <f t="shared" si="127"/>
        <v>42836</v>
      </c>
      <c r="AL41" s="65">
        <f>AL48+(7*AJ41)</f>
        <v>42836</v>
      </c>
      <c r="AM41" s="81"/>
      <c r="AN41" s="76"/>
      <c r="AO41" s="76"/>
      <c r="AP41" s="77"/>
      <c r="AQ41" s="77"/>
      <c r="AR41" s="78">
        <v>82.0</v>
      </c>
      <c r="AS41" s="79">
        <f>AR41-AR48</f>
        <v>2</v>
      </c>
      <c r="AT41" s="80">
        <f t="shared" si="128"/>
        <v>42913</v>
      </c>
      <c r="AU41" s="65">
        <f>AU48+(7*AS41)</f>
        <v>42913</v>
      </c>
      <c r="AV41" s="81"/>
      <c r="AW41" s="81"/>
      <c r="AX41" s="76"/>
      <c r="AY41" s="76"/>
      <c r="AZ41" s="77"/>
      <c r="BA41" s="77"/>
      <c r="BB41" s="78">
        <v>92.0</v>
      </c>
      <c r="BC41" s="79">
        <f>BB41-BB48</f>
        <v>2</v>
      </c>
      <c r="BD41" s="80">
        <f t="shared" si="129"/>
        <v>42983</v>
      </c>
      <c r="BE41" s="64">
        <f>BE48+(7*BC41)</f>
        <v>42983</v>
      </c>
      <c r="BF41" s="81"/>
      <c r="BG41" s="40" t="s">
        <v>96</v>
      </c>
    </row>
    <row r="42" ht="17.25" customHeight="1">
      <c r="A42" s="69"/>
      <c r="B42" s="75" t="s">
        <v>97</v>
      </c>
      <c r="C42" s="76"/>
      <c r="D42" s="76"/>
      <c r="E42" s="77"/>
      <c r="F42" s="77"/>
      <c r="G42" s="78">
        <v>38.0</v>
      </c>
      <c r="H42" s="79">
        <f>G42-G47</f>
        <v>4</v>
      </c>
      <c r="I42" s="80">
        <f t="shared" si="124"/>
        <v>42605</v>
      </c>
      <c r="J42" s="65">
        <f>J47+(7*H42)</f>
        <v>42605</v>
      </c>
      <c r="K42" s="81"/>
      <c r="L42" s="76"/>
      <c r="M42" s="76"/>
      <c r="N42" s="77"/>
      <c r="O42" s="77"/>
      <c r="P42" s="78">
        <v>42.0</v>
      </c>
      <c r="Q42" s="79">
        <f>P42-P47</f>
        <v>4</v>
      </c>
      <c r="R42" s="80">
        <f t="shared" si="125"/>
        <v>42633</v>
      </c>
      <c r="S42" s="65">
        <f>S47+(7*Q42)</f>
        <v>42633</v>
      </c>
      <c r="T42" s="81"/>
      <c r="U42" s="76"/>
      <c r="V42" s="76"/>
      <c r="W42" s="77"/>
      <c r="X42" s="77"/>
      <c r="Y42" s="78">
        <v>58.0</v>
      </c>
      <c r="Z42" s="79">
        <f>Y42-Y47</f>
        <v>4</v>
      </c>
      <c r="AA42" s="80">
        <f t="shared" si="126"/>
        <v>42745</v>
      </c>
      <c r="AB42" s="65">
        <f>AB47+(7*Z42)</f>
        <v>42745</v>
      </c>
      <c r="AC42" s="81"/>
      <c r="AD42" s="81"/>
      <c r="AE42" s="76"/>
      <c r="AF42" s="76"/>
      <c r="AG42" s="77"/>
      <c r="AH42" s="77"/>
      <c r="AI42" s="78">
        <v>71.0</v>
      </c>
      <c r="AJ42" s="79">
        <f>AI42-AI47</f>
        <v>4</v>
      </c>
      <c r="AK42" s="80">
        <f t="shared" si="127"/>
        <v>42836</v>
      </c>
      <c r="AL42" s="65">
        <f>AL47+(7*AJ42)</f>
        <v>42836</v>
      </c>
      <c r="AM42" s="81"/>
      <c r="AN42" s="76"/>
      <c r="AO42" s="76"/>
      <c r="AP42" s="77"/>
      <c r="AQ42" s="77"/>
      <c r="AR42" s="78">
        <v>82.0</v>
      </c>
      <c r="AS42" s="79">
        <f>AR42-AR47</f>
        <v>4</v>
      </c>
      <c r="AT42" s="80">
        <f t="shared" si="128"/>
        <v>42913</v>
      </c>
      <c r="AU42" s="65">
        <f>AU47+(7*AS42)</f>
        <v>42913</v>
      </c>
      <c r="AV42" s="81"/>
      <c r="AW42" s="81"/>
      <c r="AX42" s="76"/>
      <c r="AY42" s="76"/>
      <c r="AZ42" s="77"/>
      <c r="BA42" s="77"/>
      <c r="BB42" s="78">
        <v>92.0</v>
      </c>
      <c r="BC42" s="79">
        <f>BB42-BB47</f>
        <v>4</v>
      </c>
      <c r="BD42" s="80">
        <f t="shared" si="129"/>
        <v>42983</v>
      </c>
      <c r="BE42" s="64">
        <f>BE47+(7*BC42)</f>
        <v>42983</v>
      </c>
      <c r="BF42" s="81"/>
      <c r="BG42" s="40" t="s">
        <v>98</v>
      </c>
    </row>
    <row r="43" ht="17.25" customHeight="1">
      <c r="A43" s="69"/>
      <c r="B43" s="75" t="s">
        <v>99</v>
      </c>
      <c r="C43" s="76"/>
      <c r="D43" s="76"/>
      <c r="E43" s="77"/>
      <c r="F43" s="77"/>
      <c r="G43" s="78">
        <v>38.0</v>
      </c>
      <c r="H43" s="79">
        <f t="shared" ref="H43:H45" si="130">G43-G$41</f>
        <v>0</v>
      </c>
      <c r="I43" s="80">
        <f t="shared" si="124"/>
        <v>42605</v>
      </c>
      <c r="J43" s="64">
        <f>J41+(7*H43)</f>
        <v>42605</v>
      </c>
      <c r="K43" s="81"/>
      <c r="L43" s="76"/>
      <c r="M43" s="76"/>
      <c r="N43" s="77"/>
      <c r="O43" s="77"/>
      <c r="P43" s="78">
        <v>42.0</v>
      </c>
      <c r="Q43" s="79">
        <f t="shared" ref="Q43:Q45" si="131">P43-P$41</f>
        <v>0</v>
      </c>
      <c r="R43" s="80">
        <f t="shared" si="125"/>
        <v>42633</v>
      </c>
      <c r="S43" s="64">
        <f>S41+(7*Q43)</f>
        <v>42633</v>
      </c>
      <c r="T43" s="81"/>
      <c r="U43" s="76"/>
      <c r="V43" s="76"/>
      <c r="W43" s="77"/>
      <c r="X43" s="77"/>
      <c r="Y43" s="78">
        <v>58.0</v>
      </c>
      <c r="Z43" s="79">
        <f t="shared" ref="Z43:Z45" si="132">Y43-Y$41</f>
        <v>0</v>
      </c>
      <c r="AA43" s="80">
        <f t="shared" si="126"/>
        <v>42745</v>
      </c>
      <c r="AB43" s="64">
        <f>AB41+(7*Z43)</f>
        <v>42745</v>
      </c>
      <c r="AC43" s="81"/>
      <c r="AD43" s="81"/>
      <c r="AE43" s="76"/>
      <c r="AF43" s="76"/>
      <c r="AG43" s="77"/>
      <c r="AH43" s="77"/>
      <c r="AI43" s="78">
        <v>71.0</v>
      </c>
      <c r="AJ43" s="79">
        <f t="shared" ref="AJ43:AJ45" si="133">AI43-AI$41</f>
        <v>0</v>
      </c>
      <c r="AK43" s="80">
        <f t="shared" si="127"/>
        <v>42836</v>
      </c>
      <c r="AL43" s="64">
        <f>AL41+(7*AJ43)</f>
        <v>42836</v>
      </c>
      <c r="AM43" s="81"/>
      <c r="AN43" s="76"/>
      <c r="AO43" s="76"/>
      <c r="AP43" s="77"/>
      <c r="AQ43" s="77"/>
      <c r="AR43" s="78">
        <v>82.0</v>
      </c>
      <c r="AS43" s="79">
        <f t="shared" ref="AS43:AS45" si="134">AR43-AR$41</f>
        <v>0</v>
      </c>
      <c r="AT43" s="80">
        <f t="shared" si="128"/>
        <v>42913</v>
      </c>
      <c r="AU43" s="64">
        <f>AU41+(7*AS43)</f>
        <v>42913</v>
      </c>
      <c r="AV43" s="81"/>
      <c r="AW43" s="81"/>
      <c r="AX43" s="76"/>
      <c r="AY43" s="76"/>
      <c r="AZ43" s="77"/>
      <c r="BA43" s="77"/>
      <c r="BB43" s="78">
        <v>92.0</v>
      </c>
      <c r="BC43" s="79">
        <f t="shared" ref="BC43:BC45" si="135">BB43-BB$41</f>
        <v>0</v>
      </c>
      <c r="BD43" s="80">
        <f t="shared" si="129"/>
        <v>42983</v>
      </c>
      <c r="BE43" s="64">
        <f>BE41+(7*BC43)</f>
        <v>42983</v>
      </c>
      <c r="BF43" s="81"/>
      <c r="BG43" s="40" t="s">
        <v>100</v>
      </c>
    </row>
    <row r="44" ht="17.25" customHeight="1">
      <c r="A44" s="69"/>
      <c r="B44" s="75" t="s">
        <v>101</v>
      </c>
      <c r="C44" s="76"/>
      <c r="D44" s="76"/>
      <c r="E44" s="77"/>
      <c r="F44" s="77"/>
      <c r="G44" s="78">
        <v>38.0</v>
      </c>
      <c r="H44" s="79">
        <f t="shared" si="130"/>
        <v>0</v>
      </c>
      <c r="I44" s="80">
        <f t="shared" si="124"/>
        <v>42605</v>
      </c>
      <c r="J44" s="65">
        <f>J41+(7*H44)</f>
        <v>42605</v>
      </c>
      <c r="K44" s="81"/>
      <c r="L44" s="76"/>
      <c r="M44" s="76"/>
      <c r="N44" s="77"/>
      <c r="O44" s="77"/>
      <c r="P44" s="78">
        <v>46.0</v>
      </c>
      <c r="Q44" s="79">
        <f t="shared" si="131"/>
        <v>4</v>
      </c>
      <c r="R44" s="80">
        <f t="shared" si="125"/>
        <v>42661</v>
      </c>
      <c r="S44" s="65">
        <f>S41+(7*Q44)</f>
        <v>42661</v>
      </c>
      <c r="T44" s="81"/>
      <c r="U44" s="76"/>
      <c r="V44" s="76"/>
      <c r="W44" s="77"/>
      <c r="X44" s="77"/>
      <c r="Y44" s="78">
        <v>72.0</v>
      </c>
      <c r="Z44" s="79">
        <f t="shared" si="132"/>
        <v>14</v>
      </c>
      <c r="AA44" s="80">
        <f t="shared" si="126"/>
        <v>42843</v>
      </c>
      <c r="AB44" s="65">
        <f>AB41+(7*Z44)</f>
        <v>42843</v>
      </c>
      <c r="AC44" s="81"/>
      <c r="AD44" s="81"/>
      <c r="AE44" s="76"/>
      <c r="AF44" s="76"/>
      <c r="AG44" s="77"/>
      <c r="AH44" s="77"/>
      <c r="AI44" s="78">
        <v>83.0</v>
      </c>
      <c r="AJ44" s="79">
        <f t="shared" si="133"/>
        <v>12</v>
      </c>
      <c r="AK44" s="80">
        <f t="shared" si="127"/>
        <v>42920</v>
      </c>
      <c r="AL44" s="65">
        <f>AL41+(7*AJ44)</f>
        <v>42920</v>
      </c>
      <c r="AM44" s="81"/>
      <c r="AN44" s="76"/>
      <c r="AO44" s="76"/>
      <c r="AP44" s="77"/>
      <c r="AQ44" s="77"/>
      <c r="AR44" s="78">
        <v>92.0</v>
      </c>
      <c r="AS44" s="79">
        <f t="shared" si="134"/>
        <v>10</v>
      </c>
      <c r="AT44" s="80">
        <f t="shared" si="128"/>
        <v>42983</v>
      </c>
      <c r="AU44" s="65">
        <f>AU41+(7*AS44)</f>
        <v>42983</v>
      </c>
      <c r="AV44" s="81"/>
      <c r="AW44" s="81"/>
      <c r="AX44" s="76"/>
      <c r="AY44" s="76"/>
      <c r="AZ44" s="77"/>
      <c r="BA44" s="77"/>
      <c r="BB44" s="78">
        <v>92.0</v>
      </c>
      <c r="BC44" s="79">
        <f t="shared" si="135"/>
        <v>0</v>
      </c>
      <c r="BD44" s="80">
        <f t="shared" si="129"/>
        <v>42983</v>
      </c>
      <c r="BE44" s="64">
        <f>BE41+(7*BC44)</f>
        <v>42983</v>
      </c>
      <c r="BF44" s="81"/>
      <c r="BG44" s="40" t="s">
        <v>100</v>
      </c>
    </row>
    <row r="45" ht="17.25" customHeight="1">
      <c r="A45" s="69"/>
      <c r="B45" s="75" t="s">
        <v>102</v>
      </c>
      <c r="C45" s="76"/>
      <c r="D45" s="76"/>
      <c r="E45" s="77"/>
      <c r="F45" s="77"/>
      <c r="G45" s="78">
        <v>38.0</v>
      </c>
      <c r="H45" s="79">
        <f t="shared" si="130"/>
        <v>0</v>
      </c>
      <c r="I45" s="80">
        <f t="shared" si="124"/>
        <v>42605</v>
      </c>
      <c r="J45" s="65">
        <f>J$41+(H45*7)</f>
        <v>42605</v>
      </c>
      <c r="K45" s="81"/>
      <c r="L45" s="76"/>
      <c r="M45" s="76"/>
      <c r="N45" s="77"/>
      <c r="O45" s="77"/>
      <c r="P45" s="78">
        <v>46.0</v>
      </c>
      <c r="Q45" s="79">
        <f t="shared" si="131"/>
        <v>4</v>
      </c>
      <c r="R45" s="80">
        <f t="shared" si="125"/>
        <v>42661</v>
      </c>
      <c r="S45" s="65">
        <f>S$41+(Q45*7)</f>
        <v>42661</v>
      </c>
      <c r="T45" s="81"/>
      <c r="U45" s="76"/>
      <c r="V45" s="76"/>
      <c r="W45" s="77"/>
      <c r="X45" s="77"/>
      <c r="Y45" s="78">
        <v>72.0</v>
      </c>
      <c r="Z45" s="79">
        <f t="shared" si="132"/>
        <v>14</v>
      </c>
      <c r="AA45" s="80">
        <f t="shared" si="126"/>
        <v>42843</v>
      </c>
      <c r="AB45" s="65">
        <f>AB$41+(Z45*7)</f>
        <v>42843</v>
      </c>
      <c r="AC45" s="81"/>
      <c r="AD45" s="81"/>
      <c r="AE45" s="76"/>
      <c r="AF45" s="76"/>
      <c r="AG45" s="77"/>
      <c r="AH45" s="77"/>
      <c r="AI45" s="78">
        <v>83.0</v>
      </c>
      <c r="AJ45" s="79">
        <f t="shared" si="133"/>
        <v>12</v>
      </c>
      <c r="AK45" s="80">
        <f t="shared" si="127"/>
        <v>42920</v>
      </c>
      <c r="AL45" s="65">
        <f>AL$41+(AJ45*7)</f>
        <v>42920</v>
      </c>
      <c r="AM45" s="81"/>
      <c r="AN45" s="76"/>
      <c r="AO45" s="76"/>
      <c r="AP45" s="77"/>
      <c r="AQ45" s="77"/>
      <c r="AR45" s="78">
        <v>92.0</v>
      </c>
      <c r="AS45" s="79">
        <f t="shared" si="134"/>
        <v>10</v>
      </c>
      <c r="AT45" s="80">
        <f t="shared" si="128"/>
        <v>42983</v>
      </c>
      <c r="AU45" s="65">
        <f>AU$41+(AS45*7)</f>
        <v>42983</v>
      </c>
      <c r="AV45" s="81"/>
      <c r="AW45" s="81"/>
      <c r="AX45" s="76"/>
      <c r="AY45" s="76"/>
      <c r="AZ45" s="77"/>
      <c r="BA45" s="77"/>
      <c r="BB45" s="78">
        <v>92.0</v>
      </c>
      <c r="BC45" s="79">
        <f t="shared" si="135"/>
        <v>0</v>
      </c>
      <c r="BD45" s="80">
        <f t="shared" si="129"/>
        <v>42983</v>
      </c>
      <c r="BE45" s="64">
        <f>BE$41+(BC45*7)</f>
        <v>42983</v>
      </c>
      <c r="BF45" s="81"/>
      <c r="BG45" s="40" t="s">
        <v>100</v>
      </c>
    </row>
    <row r="46" ht="17.25" customHeight="1">
      <c r="A46" s="69"/>
      <c r="B46" s="88" t="s">
        <v>103</v>
      </c>
      <c r="C46" s="76"/>
      <c r="D46" s="76"/>
      <c r="E46" s="77"/>
      <c r="F46" s="77"/>
      <c r="G46" s="89">
        <v>46.0</v>
      </c>
      <c r="H46" s="90"/>
      <c r="I46" s="91"/>
      <c r="J46" s="91"/>
      <c r="K46" s="92"/>
      <c r="L46" s="76"/>
      <c r="M46" s="76"/>
      <c r="N46" s="77"/>
      <c r="O46" s="77"/>
      <c r="P46" s="89">
        <v>50.0</v>
      </c>
      <c r="Q46" s="90"/>
      <c r="R46" s="91"/>
      <c r="S46" s="91"/>
      <c r="T46" s="92"/>
      <c r="U46" s="76"/>
      <c r="V46" s="76"/>
      <c r="W46" s="77"/>
      <c r="X46" s="77"/>
      <c r="Y46" s="89">
        <v>66.0</v>
      </c>
      <c r="Z46" s="90"/>
      <c r="AA46" s="91"/>
      <c r="AB46" s="91"/>
      <c r="AC46" s="92"/>
      <c r="AD46" s="81"/>
      <c r="AE46" s="76"/>
      <c r="AF46" s="76"/>
      <c r="AG46" s="77"/>
      <c r="AH46" s="77"/>
      <c r="AI46" s="89" t="s">
        <v>52</v>
      </c>
      <c r="AJ46" s="90"/>
      <c r="AK46" s="91"/>
      <c r="AL46" s="91"/>
      <c r="AM46" s="92"/>
      <c r="AN46" s="76"/>
      <c r="AO46" s="76"/>
      <c r="AP46" s="77"/>
      <c r="AQ46" s="77"/>
      <c r="AR46" s="89" t="s">
        <v>52</v>
      </c>
      <c r="AS46" s="90"/>
      <c r="AT46" s="91"/>
      <c r="AU46" s="91"/>
      <c r="AV46" s="92"/>
      <c r="AW46" s="92"/>
      <c r="AX46" s="76"/>
      <c r="AY46" s="76"/>
      <c r="AZ46" s="77"/>
      <c r="BA46" s="77"/>
      <c r="BB46" s="89"/>
      <c r="BC46" s="90"/>
      <c r="BD46" s="91"/>
      <c r="BE46" s="93"/>
      <c r="BF46" s="92"/>
      <c r="BG46" s="40"/>
    </row>
    <row r="47" ht="17.25" customHeight="1">
      <c r="A47" s="69"/>
      <c r="B47" s="75" t="s">
        <v>104</v>
      </c>
      <c r="C47" s="76"/>
      <c r="D47" s="76"/>
      <c r="E47" s="77"/>
      <c r="F47" s="77"/>
      <c r="G47" s="78">
        <v>34.0</v>
      </c>
      <c r="H47" s="79">
        <f>G47-G32</f>
        <v>10</v>
      </c>
      <c r="I47" s="80">
        <f t="shared" ref="I47:I51" si="136">I$8+(7*G47)</f>
        <v>42577</v>
      </c>
      <c r="J47" s="94">
        <f>J32+(7*H47)</f>
        <v>42577</v>
      </c>
      <c r="K47" s="81"/>
      <c r="L47" s="76"/>
      <c r="M47" s="76"/>
      <c r="N47" s="77"/>
      <c r="O47" s="77"/>
      <c r="P47" s="78">
        <v>38.0</v>
      </c>
      <c r="Q47" s="79">
        <f>P47-P38</f>
        <v>8</v>
      </c>
      <c r="R47" s="80">
        <f t="shared" ref="R47:R51" si="137">R$8+(7*P47)</f>
        <v>42605</v>
      </c>
      <c r="S47" s="65">
        <f>S38+(7*Q47)</f>
        <v>42605</v>
      </c>
      <c r="T47" s="81"/>
      <c r="U47" s="76"/>
      <c r="V47" s="76"/>
      <c r="W47" s="77"/>
      <c r="X47" s="77"/>
      <c r="Y47" s="78">
        <v>54.0</v>
      </c>
      <c r="Z47" s="79">
        <f>Y47-Y38</f>
        <v>20</v>
      </c>
      <c r="AA47" s="80">
        <f t="shared" ref="AA47:AA51" si="138">AA$8+(7*Y47)</f>
        <v>42717</v>
      </c>
      <c r="AB47" s="65">
        <f>AB38+(7*Z47)</f>
        <v>42717</v>
      </c>
      <c r="AC47" s="81"/>
      <c r="AD47" s="81"/>
      <c r="AE47" s="76"/>
      <c r="AF47" s="76"/>
      <c r="AG47" s="77"/>
      <c r="AH47" s="77"/>
      <c r="AI47" s="78">
        <v>67.0</v>
      </c>
      <c r="AJ47" s="79">
        <f>AI47-AI38</f>
        <v>15</v>
      </c>
      <c r="AK47" s="80">
        <f t="shared" ref="AK47:AK51" si="139">AK$8+(7*AI47)</f>
        <v>42808</v>
      </c>
      <c r="AL47" s="65">
        <f>AL38+(7*AJ47)</f>
        <v>42808</v>
      </c>
      <c r="AM47" s="81"/>
      <c r="AN47" s="76"/>
      <c r="AO47" s="76"/>
      <c r="AP47" s="77"/>
      <c r="AQ47" s="77"/>
      <c r="AR47" s="78">
        <v>78.0</v>
      </c>
      <c r="AS47" s="79">
        <f>AR47-AR38</f>
        <v>20</v>
      </c>
      <c r="AT47" s="80">
        <f t="shared" ref="AT47:AT51" si="140">AT$8+(7*AR47)</f>
        <v>42885</v>
      </c>
      <c r="AU47" s="65">
        <f>AU38+(7*AS47)</f>
        <v>42885</v>
      </c>
      <c r="AV47" s="81"/>
      <c r="AW47" s="81"/>
      <c r="AX47" s="76"/>
      <c r="AY47" s="76"/>
      <c r="AZ47" s="77"/>
      <c r="BA47" s="77"/>
      <c r="BB47" s="78">
        <v>88.0</v>
      </c>
      <c r="BC47" s="79">
        <f>BB47-BB38</f>
        <v>20</v>
      </c>
      <c r="BD47" s="80">
        <f t="shared" ref="BD47:BD51" si="141">BD$8+(7*BB47)</f>
        <v>42955</v>
      </c>
      <c r="BE47" s="64">
        <f>BE38+(7*BC47)</f>
        <v>42955</v>
      </c>
      <c r="BF47" s="81"/>
      <c r="BG47" s="40" t="s">
        <v>105</v>
      </c>
    </row>
    <row r="48" ht="17.25" customHeight="1">
      <c r="A48" s="69"/>
      <c r="B48" s="70" t="s">
        <v>106</v>
      </c>
      <c r="C48" s="76"/>
      <c r="D48" s="76"/>
      <c r="E48" s="77"/>
      <c r="F48" s="77"/>
      <c r="G48" s="78">
        <v>36.0</v>
      </c>
      <c r="H48" s="79">
        <f>G48-G47</f>
        <v>2</v>
      </c>
      <c r="I48" s="80">
        <f t="shared" si="136"/>
        <v>42591</v>
      </c>
      <c r="J48" s="65">
        <f>J47+(7*H48)</f>
        <v>42591</v>
      </c>
      <c r="K48" s="81"/>
      <c r="L48" s="76"/>
      <c r="M48" s="76"/>
      <c r="N48" s="77"/>
      <c r="O48" s="77"/>
      <c r="P48" s="78">
        <v>40.0</v>
      </c>
      <c r="Q48" s="79">
        <f>P48-P47</f>
        <v>2</v>
      </c>
      <c r="R48" s="80">
        <f t="shared" si="137"/>
        <v>42619</v>
      </c>
      <c r="S48" s="65">
        <f>S47+(7*Q48)</f>
        <v>42619</v>
      </c>
      <c r="T48" s="81"/>
      <c r="U48" s="76"/>
      <c r="V48" s="76"/>
      <c r="W48" s="77"/>
      <c r="X48" s="77"/>
      <c r="Y48" s="78">
        <v>56.0</v>
      </c>
      <c r="Z48" s="79">
        <f>Y48-Y47</f>
        <v>2</v>
      </c>
      <c r="AA48" s="80">
        <f t="shared" si="138"/>
        <v>42731</v>
      </c>
      <c r="AB48" s="65">
        <f>AB47+(7*Z48)</f>
        <v>42731</v>
      </c>
      <c r="AC48" s="81"/>
      <c r="AD48" s="81"/>
      <c r="AE48" s="76"/>
      <c r="AF48" s="76"/>
      <c r="AG48" s="77"/>
      <c r="AH48" s="77"/>
      <c r="AI48" s="78">
        <v>69.0</v>
      </c>
      <c r="AJ48" s="79">
        <f>AI48-AI47</f>
        <v>2</v>
      </c>
      <c r="AK48" s="80">
        <f t="shared" si="139"/>
        <v>42822</v>
      </c>
      <c r="AL48" s="65">
        <f>AL47+(7*AJ48)</f>
        <v>42822</v>
      </c>
      <c r="AM48" s="81"/>
      <c r="AN48" s="76"/>
      <c r="AO48" s="76"/>
      <c r="AP48" s="77"/>
      <c r="AQ48" s="77"/>
      <c r="AR48" s="78">
        <v>80.0</v>
      </c>
      <c r="AS48" s="79">
        <f>AR48-AR47</f>
        <v>2</v>
      </c>
      <c r="AT48" s="80">
        <f t="shared" si="140"/>
        <v>42899</v>
      </c>
      <c r="AU48" s="65">
        <f>AU47+(7*AS48)</f>
        <v>42899</v>
      </c>
      <c r="AV48" s="81"/>
      <c r="AW48" s="81"/>
      <c r="AX48" s="76"/>
      <c r="AY48" s="76"/>
      <c r="AZ48" s="77"/>
      <c r="BA48" s="77"/>
      <c r="BB48" s="78">
        <f>BB47+2</f>
        <v>90</v>
      </c>
      <c r="BC48" s="79">
        <f>BB48-BB47</f>
        <v>2</v>
      </c>
      <c r="BD48" s="80">
        <f t="shared" si="141"/>
        <v>42969</v>
      </c>
      <c r="BE48" s="64">
        <f>BE47+(7*BC48)</f>
        <v>42969</v>
      </c>
      <c r="BF48" s="81"/>
      <c r="BG48" s="40" t="s">
        <v>98</v>
      </c>
    </row>
    <row r="49" ht="17.25" customHeight="1">
      <c r="A49" s="69"/>
      <c r="B49" s="75" t="s">
        <v>107</v>
      </c>
      <c r="C49" s="76"/>
      <c r="D49" s="76"/>
      <c r="E49" s="77"/>
      <c r="F49" s="77"/>
      <c r="G49" s="78">
        <v>46.0</v>
      </c>
      <c r="H49" s="79">
        <f>G49-G41</f>
        <v>8</v>
      </c>
      <c r="I49" s="80">
        <f t="shared" si="136"/>
        <v>42661</v>
      </c>
      <c r="J49" s="65">
        <f>J41+(7*H49)</f>
        <v>42661</v>
      </c>
      <c r="K49" s="81"/>
      <c r="L49" s="76"/>
      <c r="M49" s="76"/>
      <c r="N49" s="77"/>
      <c r="O49" s="77"/>
      <c r="P49" s="78">
        <v>50.0</v>
      </c>
      <c r="Q49" s="79">
        <f>P49-P41</f>
        <v>8</v>
      </c>
      <c r="R49" s="80">
        <f t="shared" si="137"/>
        <v>42689</v>
      </c>
      <c r="S49" s="65">
        <f>S41+(7*Q49)</f>
        <v>42689</v>
      </c>
      <c r="T49" s="81"/>
      <c r="U49" s="76"/>
      <c r="V49" s="76"/>
      <c r="W49" s="77"/>
      <c r="X49" s="77"/>
      <c r="Y49" s="78">
        <v>60.0</v>
      </c>
      <c r="Z49" s="79">
        <f>Y49-Y41</f>
        <v>2</v>
      </c>
      <c r="AA49" s="80">
        <f t="shared" si="138"/>
        <v>42759</v>
      </c>
      <c r="AB49" s="65">
        <f>AB41+(7*Z49)</f>
        <v>42759</v>
      </c>
      <c r="AC49" s="81"/>
      <c r="AD49" s="81"/>
      <c r="AE49" s="76"/>
      <c r="AF49" s="76"/>
      <c r="AG49" s="77"/>
      <c r="AH49" s="77"/>
      <c r="AI49" s="78">
        <v>68.0</v>
      </c>
      <c r="AJ49" s="79">
        <f>AI49-AI41</f>
        <v>-3</v>
      </c>
      <c r="AK49" s="80">
        <f t="shared" si="139"/>
        <v>42815</v>
      </c>
      <c r="AL49" s="65">
        <f>AL41+(7*AJ49)</f>
        <v>42815</v>
      </c>
      <c r="AM49" s="81"/>
      <c r="AN49" s="76"/>
      <c r="AO49" s="76"/>
      <c r="AP49" s="77"/>
      <c r="AQ49" s="77"/>
      <c r="AR49" s="78">
        <v>80.0</v>
      </c>
      <c r="AS49" s="79">
        <f>AR49-AR41</f>
        <v>-2</v>
      </c>
      <c r="AT49" s="80">
        <f t="shared" si="140"/>
        <v>42899</v>
      </c>
      <c r="AU49" s="65">
        <f>AU41+(7*AS49)</f>
        <v>42899</v>
      </c>
      <c r="AV49" s="81"/>
      <c r="AW49" s="81"/>
      <c r="AX49" s="76"/>
      <c r="AY49" s="76"/>
      <c r="AZ49" s="77"/>
      <c r="BA49" s="77"/>
      <c r="BB49" s="78">
        <v>88.0</v>
      </c>
      <c r="BC49" s="79">
        <f>BB49-BB41</f>
        <v>-4</v>
      </c>
      <c r="BD49" s="80">
        <f t="shared" si="141"/>
        <v>42955</v>
      </c>
      <c r="BE49" s="64">
        <f>BE41+(7*BC49)</f>
        <v>42955</v>
      </c>
      <c r="BF49" s="81"/>
      <c r="BG49" s="40" t="s">
        <v>100</v>
      </c>
    </row>
    <row r="50" ht="17.25" customHeight="1">
      <c r="A50" s="69"/>
      <c r="B50" s="75" t="s">
        <v>108</v>
      </c>
      <c r="C50" s="76"/>
      <c r="D50" s="76"/>
      <c r="E50" s="77"/>
      <c r="F50" s="77"/>
      <c r="G50" s="78" t="s">
        <v>52</v>
      </c>
      <c r="H50" s="79" t="str">
        <f>G50-G48</f>
        <v>#VALUE!</v>
      </c>
      <c r="I50" s="80" t="str">
        <f t="shared" si="136"/>
        <v>#VALUE!</v>
      </c>
      <c r="J50" s="65" t="str">
        <f>J48+(7*H50)</f>
        <v>#VALUE!</v>
      </c>
      <c r="K50" s="95"/>
      <c r="L50" s="76"/>
      <c r="M50" s="76"/>
      <c r="N50" s="77"/>
      <c r="O50" s="77"/>
      <c r="P50" s="78" t="s">
        <v>52</v>
      </c>
      <c r="Q50" s="79" t="str">
        <f>P50-P48</f>
        <v>#VALUE!</v>
      </c>
      <c r="R50" s="80" t="str">
        <f t="shared" si="137"/>
        <v>#VALUE!</v>
      </c>
      <c r="S50" s="65" t="str">
        <f>S48+(7*Q50)</f>
        <v>#VALUE!</v>
      </c>
      <c r="T50" s="95"/>
      <c r="U50" s="76"/>
      <c r="V50" s="76"/>
      <c r="W50" s="77"/>
      <c r="X50" s="77"/>
      <c r="Y50" s="78" t="s">
        <v>52</v>
      </c>
      <c r="Z50" s="79" t="str">
        <f>Y50-Y48</f>
        <v>#VALUE!</v>
      </c>
      <c r="AA50" s="80" t="str">
        <f t="shared" si="138"/>
        <v>#VALUE!</v>
      </c>
      <c r="AB50" s="65" t="str">
        <f>AB48+(7*Z50)</f>
        <v>#VALUE!</v>
      </c>
      <c r="AC50" s="95"/>
      <c r="AD50" s="95"/>
      <c r="AE50" s="76"/>
      <c r="AF50" s="76"/>
      <c r="AG50" s="77"/>
      <c r="AH50" s="77"/>
      <c r="AI50" s="78">
        <v>88.0</v>
      </c>
      <c r="AJ50" s="79">
        <f>AI50-AI48</f>
        <v>19</v>
      </c>
      <c r="AK50" s="80">
        <f t="shared" si="139"/>
        <v>42955</v>
      </c>
      <c r="AL50" s="65">
        <f>AL48+(7*AJ50)</f>
        <v>42955</v>
      </c>
      <c r="AM50" s="95"/>
      <c r="AN50" s="76"/>
      <c r="AO50" s="76"/>
      <c r="AP50" s="77"/>
      <c r="AQ50" s="77"/>
      <c r="AR50" s="78">
        <v>102.0</v>
      </c>
      <c r="AS50" s="79">
        <f>AR50-AR48</f>
        <v>22</v>
      </c>
      <c r="AT50" s="80">
        <f t="shared" si="140"/>
        <v>43053</v>
      </c>
      <c r="AU50" s="65">
        <f>AU48+(7*AS50)</f>
        <v>43053</v>
      </c>
      <c r="AV50" s="95"/>
      <c r="AW50" s="95"/>
      <c r="AX50" s="76"/>
      <c r="AY50" s="76"/>
      <c r="AZ50" s="77"/>
      <c r="BA50" s="77"/>
      <c r="BB50" s="78">
        <v>116.0</v>
      </c>
      <c r="BC50" s="79">
        <f>BB50-BB48</f>
        <v>26</v>
      </c>
      <c r="BD50" s="80">
        <f t="shared" si="141"/>
        <v>43151</v>
      </c>
      <c r="BE50" s="64">
        <f>BE48+(7*BC50)</f>
        <v>43151</v>
      </c>
      <c r="BF50" s="95"/>
      <c r="BG50" s="40" t="s">
        <v>96</v>
      </c>
    </row>
    <row r="51" ht="17.25" customHeight="1">
      <c r="A51" s="41"/>
      <c r="B51" s="96" t="s">
        <v>109</v>
      </c>
      <c r="C51" s="76"/>
      <c r="D51" s="76"/>
      <c r="E51" s="77"/>
      <c r="F51" s="77"/>
      <c r="G51" s="97">
        <v>95.0</v>
      </c>
      <c r="H51" s="98" t="str">
        <f>G51-G50</f>
        <v>#VALUE!</v>
      </c>
      <c r="I51" s="99">
        <f t="shared" si="136"/>
        <v>43004</v>
      </c>
      <c r="J51" s="65" t="str">
        <f>J50+(7*H51)</f>
        <v>#VALUE!</v>
      </c>
      <c r="K51" s="100"/>
      <c r="L51" s="76"/>
      <c r="M51" s="76"/>
      <c r="N51" s="77"/>
      <c r="O51" s="77"/>
      <c r="P51" s="97">
        <v>101.0</v>
      </c>
      <c r="Q51" s="98" t="str">
        <f>P51-P50</f>
        <v>#VALUE!</v>
      </c>
      <c r="R51" s="99">
        <f t="shared" si="137"/>
        <v>43046</v>
      </c>
      <c r="S51" s="65" t="str">
        <f>S50+(7*Q51)</f>
        <v>#VALUE!</v>
      </c>
      <c r="T51" s="100"/>
      <c r="U51" s="76"/>
      <c r="V51" s="76"/>
      <c r="W51" s="77"/>
      <c r="X51" s="77"/>
      <c r="Y51" s="97">
        <v>122.0</v>
      </c>
      <c r="Z51" s="98" t="str">
        <f>Y51-Y50</f>
        <v>#VALUE!</v>
      </c>
      <c r="AA51" s="99">
        <f t="shared" si="138"/>
        <v>43193</v>
      </c>
      <c r="AB51" s="65" t="str">
        <f>AB50+(7*Z51)</f>
        <v>#VALUE!</v>
      </c>
      <c r="AC51" s="100"/>
      <c r="AD51" s="100"/>
      <c r="AE51" s="76"/>
      <c r="AF51" s="76"/>
      <c r="AG51" s="77"/>
      <c r="AH51" s="77"/>
      <c r="AI51" s="97">
        <v>135.0</v>
      </c>
      <c r="AJ51" s="98">
        <f>AI51-AI50</f>
        <v>47</v>
      </c>
      <c r="AK51" s="99">
        <f t="shared" si="139"/>
        <v>43284</v>
      </c>
      <c r="AL51" s="65">
        <f>AL50+(7*AJ51)</f>
        <v>43284</v>
      </c>
      <c r="AM51" s="100"/>
      <c r="AN51" s="76"/>
      <c r="AO51" s="76"/>
      <c r="AP51" s="77"/>
      <c r="AQ51" s="77"/>
      <c r="AR51" s="97">
        <v>162.0</v>
      </c>
      <c r="AS51" s="98">
        <f>AR51-AR50</f>
        <v>60</v>
      </c>
      <c r="AT51" s="99">
        <f t="shared" si="140"/>
        <v>43473</v>
      </c>
      <c r="AU51" s="65">
        <f>AU50+(7*AS51)</f>
        <v>43473</v>
      </c>
      <c r="AV51" s="100"/>
      <c r="AW51" s="100"/>
      <c r="AX51" s="76"/>
      <c r="AY51" s="76"/>
      <c r="AZ51" s="77"/>
      <c r="BA51" s="77"/>
      <c r="BB51" s="97">
        <v>206.0</v>
      </c>
      <c r="BC51" s="98">
        <f>BB51-BB50</f>
        <v>90</v>
      </c>
      <c r="BD51" s="99">
        <f t="shared" si="141"/>
        <v>43781</v>
      </c>
      <c r="BE51" s="101">
        <f>BE50+(7*BC51)</f>
        <v>43781</v>
      </c>
      <c r="BF51" s="100"/>
      <c r="BG51" s="40" t="s">
        <v>110</v>
      </c>
    </row>
    <row r="52" ht="17.25" customHeight="1">
      <c r="A52" s="69"/>
      <c r="B52" s="102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3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40"/>
    </row>
    <row r="53" ht="15.75" customHeight="1">
      <c r="A53" s="104"/>
      <c r="B53" s="9"/>
    </row>
    <row r="54" ht="15.75" customHeight="1">
      <c r="A54" s="104"/>
      <c r="B54" s="9"/>
    </row>
    <row r="55" ht="15.75" customHeight="1">
      <c r="A55" s="104"/>
      <c r="B55" s="9"/>
    </row>
    <row r="56" ht="15.75" customHeight="1">
      <c r="A56" s="104"/>
      <c r="B56" s="9"/>
    </row>
    <row r="57" ht="15.75" customHeight="1">
      <c r="A57" s="104"/>
      <c r="B57" s="9"/>
    </row>
    <row r="58" ht="15.75" customHeight="1">
      <c r="A58" s="104"/>
      <c r="B58" s="9"/>
    </row>
    <row r="59" ht="15.75" customHeight="1">
      <c r="A59" s="104"/>
      <c r="B59" s="9"/>
    </row>
    <row r="60" ht="15.75" customHeight="1">
      <c r="A60" s="104"/>
      <c r="B60" s="9"/>
    </row>
    <row r="61" ht="15.75" customHeight="1">
      <c r="A61" s="104"/>
      <c r="B61" s="9"/>
    </row>
    <row r="62" ht="15.75" customHeight="1">
      <c r="A62" s="104"/>
      <c r="B62" s="9"/>
    </row>
    <row r="63" ht="15.75" customHeight="1">
      <c r="A63" s="104"/>
      <c r="B63" s="9"/>
    </row>
    <row r="64" ht="15.75" customHeight="1">
      <c r="A64" s="104"/>
      <c r="B64" s="9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S3:AS6"/>
    <mergeCell ref="AX3:AX6"/>
    <mergeCell ref="AE3:AE6"/>
    <mergeCell ref="AF3:AF6"/>
    <mergeCell ref="AI3:AI6"/>
    <mergeCell ref="AJ3:AJ6"/>
    <mergeCell ref="AN3:AN6"/>
    <mergeCell ref="AO3:AO6"/>
    <mergeCell ref="AR3:AR6"/>
    <mergeCell ref="P2:S2"/>
    <mergeCell ref="U2:X2"/>
    <mergeCell ref="Y2:AB2"/>
    <mergeCell ref="AE2:AH2"/>
    <mergeCell ref="AI2:AL2"/>
    <mergeCell ref="AN2:AQ2"/>
    <mergeCell ref="AR2:AU2"/>
    <mergeCell ref="AX2:BA2"/>
    <mergeCell ref="AY3:AY6"/>
    <mergeCell ref="BB3:BB6"/>
    <mergeCell ref="BC3:BC6"/>
    <mergeCell ref="BG3:BG6"/>
    <mergeCell ref="C1:I1"/>
    <mergeCell ref="L1:R1"/>
    <mergeCell ref="U1:AA1"/>
    <mergeCell ref="AE1:AK1"/>
    <mergeCell ref="AN1:AT1"/>
    <mergeCell ref="AX1:BD1"/>
    <mergeCell ref="C2:F2"/>
    <mergeCell ref="BB2:BE2"/>
    <mergeCell ref="G2:J2"/>
    <mergeCell ref="L2:O2"/>
    <mergeCell ref="C3:C6"/>
    <mergeCell ref="D3:D6"/>
    <mergeCell ref="G3:G6"/>
    <mergeCell ref="H3:H6"/>
    <mergeCell ref="L3:L6"/>
    <mergeCell ref="M3:M6"/>
    <mergeCell ref="P3:P6"/>
    <mergeCell ref="Q3:Q6"/>
    <mergeCell ref="U3:U6"/>
    <mergeCell ref="V3:V6"/>
    <mergeCell ref="Y3:Y6"/>
    <mergeCell ref="Z3:Z6"/>
  </mergeCells>
  <conditionalFormatting sqref="BA11">
    <cfRule type="cellIs" dxfId="0" priority="1" operator="notEqual">
      <formula>$AZ11</formula>
    </cfRule>
  </conditionalFormatting>
  <conditionalFormatting sqref="BA12">
    <cfRule type="cellIs" dxfId="0" priority="2" operator="notEqual">
      <formula>$AZ12</formula>
    </cfRule>
  </conditionalFormatting>
  <conditionalFormatting sqref="BA15:BA16">
    <cfRule type="cellIs" dxfId="0" priority="3" operator="notEqual">
      <formula>$AZ15</formula>
    </cfRule>
  </conditionalFormatting>
  <conditionalFormatting sqref="BA21:BA23">
    <cfRule type="cellIs" dxfId="0" priority="4" operator="notEqual">
      <formula>$AZ21</formula>
    </cfRule>
  </conditionalFormatting>
  <conditionalFormatting sqref="BA26:BA31">
    <cfRule type="cellIs" dxfId="0" priority="5" operator="notEqual">
      <formula>$AZ26</formula>
    </cfRule>
  </conditionalFormatting>
  <conditionalFormatting sqref="BA34:BA37">
    <cfRule type="cellIs" dxfId="0" priority="6" operator="notEqual">
      <formula>$AZ34</formula>
    </cfRule>
  </conditionalFormatting>
  <conditionalFormatting sqref="BA11:BA12">
    <cfRule type="cellIs" dxfId="0" priority="7" operator="notEqual">
      <formula>$AZ11</formula>
    </cfRule>
  </conditionalFormatting>
  <conditionalFormatting sqref="BA7:BA8">
    <cfRule type="cellIs" dxfId="0" priority="8" operator="notEqual">
      <formula>$AZ7</formula>
    </cfRule>
  </conditionalFormatting>
  <conditionalFormatting sqref="BE8">
    <cfRule type="cellIs" dxfId="0" priority="9" operator="notEqual">
      <formula>BD8</formula>
    </cfRule>
  </conditionalFormatting>
  <conditionalFormatting sqref="BE9">
    <cfRule type="cellIs" dxfId="0" priority="10" operator="notEqual">
      <formula>BD9</formula>
    </cfRule>
  </conditionalFormatting>
  <conditionalFormatting sqref="BE10">
    <cfRule type="cellIs" dxfId="0" priority="11" operator="notEqual">
      <formula>BD10</formula>
    </cfRule>
  </conditionalFormatting>
  <conditionalFormatting sqref="BE13:BE14">
    <cfRule type="cellIs" dxfId="0" priority="12" operator="notEqual">
      <formula>BD13</formula>
    </cfRule>
  </conditionalFormatting>
  <conditionalFormatting sqref="BE17:BE20">
    <cfRule type="cellIs" dxfId="0" priority="13" operator="notEqual">
      <formula>BD17</formula>
    </cfRule>
  </conditionalFormatting>
  <conditionalFormatting sqref="BE24:BE25">
    <cfRule type="cellIs" dxfId="0" priority="14" operator="notEqual">
      <formula>BD24</formula>
    </cfRule>
  </conditionalFormatting>
  <conditionalFormatting sqref="BE32:BE33">
    <cfRule type="cellIs" dxfId="0" priority="15" operator="notEqual">
      <formula>BD32</formula>
    </cfRule>
  </conditionalFormatting>
  <conditionalFormatting sqref="BE38:BE45">
    <cfRule type="cellIs" dxfId="0" priority="16" operator="notEqual">
      <formula>BD38</formula>
    </cfRule>
  </conditionalFormatting>
  <conditionalFormatting sqref="BE47:BE51">
    <cfRule type="cellIs" dxfId="0" priority="17" operator="notEqual">
      <formula>BD47</formula>
    </cfRule>
  </conditionalFormatting>
  <conditionalFormatting sqref="BE46">
    <cfRule type="cellIs" dxfId="0" priority="18" operator="notEqual">
      <formula>BD46</formula>
    </cfRule>
  </conditionalFormatting>
  <conditionalFormatting sqref="AQ11:AQ12">
    <cfRule type="cellIs" dxfId="0" priority="19" operator="notEqual">
      <formula>AP11</formula>
    </cfRule>
  </conditionalFormatting>
  <conditionalFormatting sqref="AQ15:AQ16">
    <cfRule type="cellIs" dxfId="0" priority="20" operator="notEqual">
      <formula>AP15</formula>
    </cfRule>
  </conditionalFormatting>
  <conditionalFormatting sqref="AU9:AU10">
    <cfRule type="cellIs" dxfId="0" priority="21" operator="notEqual">
      <formula>AT9</formula>
    </cfRule>
  </conditionalFormatting>
  <conditionalFormatting sqref="AU17:AU20">
    <cfRule type="cellIs" dxfId="0" priority="22" operator="notEqual">
      <formula>AT17</formula>
    </cfRule>
  </conditionalFormatting>
  <conditionalFormatting sqref="AU32:AU33">
    <cfRule type="cellIs" dxfId="0" priority="23" operator="notEqual">
      <formula>AT32</formula>
    </cfRule>
  </conditionalFormatting>
  <conditionalFormatting sqref="AU47:AU51">
    <cfRule type="cellIs" dxfId="0" priority="24" operator="notEqual">
      <formula>AT47</formula>
    </cfRule>
  </conditionalFormatting>
  <conditionalFormatting sqref="AQ8">
    <cfRule type="cellIs" dxfId="0" priority="25" operator="notEqual">
      <formula>AP8</formula>
    </cfRule>
  </conditionalFormatting>
  <conditionalFormatting sqref="AQ21:AQ23">
    <cfRule type="cellIs" dxfId="0" priority="26" operator="notEqual">
      <formula>AP21</formula>
    </cfRule>
  </conditionalFormatting>
  <conditionalFormatting sqref="AQ26:AQ31">
    <cfRule type="cellIs" dxfId="0" priority="27" operator="notEqual">
      <formula>AP26</formula>
    </cfRule>
  </conditionalFormatting>
  <conditionalFormatting sqref="AQ34:AQ37">
    <cfRule type="cellIs" dxfId="0" priority="28" operator="notEqual">
      <formula>AP34</formula>
    </cfRule>
  </conditionalFormatting>
  <conditionalFormatting sqref="AU13:AU14">
    <cfRule type="cellIs" dxfId="0" priority="29" operator="notEqual">
      <formula>AT13</formula>
    </cfRule>
  </conditionalFormatting>
  <conditionalFormatting sqref="AU24:AU25">
    <cfRule type="cellIs" dxfId="0" priority="30" operator="notEqual">
      <formula>AT24</formula>
    </cfRule>
  </conditionalFormatting>
  <conditionalFormatting sqref="AU38:AU45">
    <cfRule type="cellIs" dxfId="0" priority="31" operator="notEqual">
      <formula>AT38</formula>
    </cfRule>
  </conditionalFormatting>
  <conditionalFormatting sqref="AH11:AH12">
    <cfRule type="cellIs" dxfId="0" priority="32" operator="notEqual">
      <formula>AG11</formula>
    </cfRule>
  </conditionalFormatting>
  <conditionalFormatting sqref="AH15:AH16">
    <cfRule type="cellIs" dxfId="0" priority="33" operator="notEqual">
      <formula>AG15</formula>
    </cfRule>
  </conditionalFormatting>
  <conditionalFormatting sqref="AL9:AL10">
    <cfRule type="cellIs" dxfId="0" priority="34" operator="notEqual">
      <formula>AK9</formula>
    </cfRule>
  </conditionalFormatting>
  <conditionalFormatting sqref="AL17:AL20">
    <cfRule type="cellIs" dxfId="0" priority="35" operator="notEqual">
      <formula>AK17</formula>
    </cfRule>
  </conditionalFormatting>
  <conditionalFormatting sqref="AL32:AL33">
    <cfRule type="cellIs" dxfId="0" priority="36" operator="notEqual">
      <formula>AK32</formula>
    </cfRule>
  </conditionalFormatting>
  <conditionalFormatting sqref="AL47:AL51">
    <cfRule type="cellIs" dxfId="0" priority="37" operator="notEqual">
      <formula>AK47</formula>
    </cfRule>
  </conditionalFormatting>
  <conditionalFormatting sqref="AH8">
    <cfRule type="cellIs" dxfId="0" priority="38" operator="notEqual">
      <formula>AG8</formula>
    </cfRule>
  </conditionalFormatting>
  <conditionalFormatting sqref="AH21:AH23">
    <cfRule type="cellIs" dxfId="0" priority="39" operator="notEqual">
      <formula>AG21</formula>
    </cfRule>
  </conditionalFormatting>
  <conditionalFormatting sqref="AH26:AH31">
    <cfRule type="cellIs" dxfId="0" priority="40" operator="notEqual">
      <formula>AG26</formula>
    </cfRule>
  </conditionalFormatting>
  <conditionalFormatting sqref="AH34:AH37">
    <cfRule type="cellIs" dxfId="0" priority="41" operator="notEqual">
      <formula>AG34</formula>
    </cfRule>
  </conditionalFormatting>
  <conditionalFormatting sqref="AL13:AL14">
    <cfRule type="cellIs" dxfId="0" priority="42" operator="notEqual">
      <formula>AK13</formula>
    </cfRule>
  </conditionalFormatting>
  <conditionalFormatting sqref="AL24:AL25">
    <cfRule type="cellIs" dxfId="0" priority="43" operator="notEqual">
      <formula>AK24</formula>
    </cfRule>
  </conditionalFormatting>
  <conditionalFormatting sqref="AL38:AL45">
    <cfRule type="cellIs" dxfId="0" priority="44" operator="notEqual">
      <formula>AK38</formula>
    </cfRule>
  </conditionalFormatting>
  <conditionalFormatting sqref="AU43">
    <cfRule type="cellIs" dxfId="0" priority="45" operator="notEqual">
      <formula>AT43</formula>
    </cfRule>
  </conditionalFormatting>
  <conditionalFormatting sqref="AL43">
    <cfRule type="cellIs" dxfId="0" priority="46" operator="notEqual">
      <formula>AK43</formula>
    </cfRule>
  </conditionalFormatting>
  <conditionalFormatting sqref="X11:X12">
    <cfRule type="cellIs" dxfId="0" priority="47" operator="notEqual">
      <formula>W11</formula>
    </cfRule>
  </conditionalFormatting>
  <conditionalFormatting sqref="X15:X16">
    <cfRule type="cellIs" dxfId="0" priority="48" operator="notEqual">
      <formula>W15</formula>
    </cfRule>
  </conditionalFormatting>
  <conditionalFormatting sqref="AB9:AB10">
    <cfRule type="cellIs" dxfId="0" priority="49" operator="notEqual">
      <formula>AA9</formula>
    </cfRule>
  </conditionalFormatting>
  <conditionalFormatting sqref="AB17:AB20">
    <cfRule type="cellIs" dxfId="0" priority="50" operator="notEqual">
      <formula>AA17</formula>
    </cfRule>
  </conditionalFormatting>
  <conditionalFormatting sqref="AB32:AB33">
    <cfRule type="cellIs" dxfId="0" priority="51" operator="notEqual">
      <formula>AA32</formula>
    </cfRule>
  </conditionalFormatting>
  <conditionalFormatting sqref="AB47:AB51">
    <cfRule type="cellIs" dxfId="0" priority="52" operator="notEqual">
      <formula>AA47</formula>
    </cfRule>
  </conditionalFormatting>
  <conditionalFormatting sqref="X8">
    <cfRule type="cellIs" dxfId="0" priority="53" operator="notEqual">
      <formula>W8</formula>
    </cfRule>
  </conditionalFormatting>
  <conditionalFormatting sqref="X21:X23">
    <cfRule type="cellIs" dxfId="0" priority="54" operator="notEqual">
      <formula>W21</formula>
    </cfRule>
  </conditionalFormatting>
  <conditionalFormatting sqref="X26:X31">
    <cfRule type="cellIs" dxfId="0" priority="55" operator="notEqual">
      <formula>W26</formula>
    </cfRule>
  </conditionalFormatting>
  <conditionalFormatting sqref="X34:X37">
    <cfRule type="cellIs" dxfId="0" priority="56" operator="notEqual">
      <formula>W34</formula>
    </cfRule>
  </conditionalFormatting>
  <conditionalFormatting sqref="AB13:AB14">
    <cfRule type="cellIs" dxfId="0" priority="57" operator="notEqual">
      <formula>AA13</formula>
    </cfRule>
  </conditionalFormatting>
  <conditionalFormatting sqref="AB24:AB25">
    <cfRule type="cellIs" dxfId="0" priority="58" operator="notEqual">
      <formula>AA24</formula>
    </cfRule>
  </conditionalFormatting>
  <conditionalFormatting sqref="AB38:AB45">
    <cfRule type="cellIs" dxfId="0" priority="59" operator="notEqual">
      <formula>AA38</formula>
    </cfRule>
  </conditionalFormatting>
  <conditionalFormatting sqref="AB43">
    <cfRule type="cellIs" dxfId="0" priority="60" operator="notEqual">
      <formula>AA43</formula>
    </cfRule>
  </conditionalFormatting>
  <conditionalFormatting sqref="O11:O12">
    <cfRule type="cellIs" dxfId="0" priority="61" operator="notEqual">
      <formula>N11</formula>
    </cfRule>
  </conditionalFormatting>
  <conditionalFormatting sqref="O15:O16">
    <cfRule type="cellIs" dxfId="0" priority="62" operator="notEqual">
      <formula>N15</formula>
    </cfRule>
  </conditionalFormatting>
  <conditionalFormatting sqref="S9:S10">
    <cfRule type="cellIs" dxfId="0" priority="63" operator="notEqual">
      <formula>R9</formula>
    </cfRule>
  </conditionalFormatting>
  <conditionalFormatting sqref="S17:S20">
    <cfRule type="cellIs" dxfId="0" priority="64" operator="notEqual">
      <formula>R17</formula>
    </cfRule>
  </conditionalFormatting>
  <conditionalFormatting sqref="S32:S33">
    <cfRule type="cellIs" dxfId="0" priority="65" operator="notEqual">
      <formula>R32</formula>
    </cfRule>
  </conditionalFormatting>
  <conditionalFormatting sqref="S47:S51">
    <cfRule type="cellIs" dxfId="0" priority="66" operator="notEqual">
      <formula>R47</formula>
    </cfRule>
  </conditionalFormatting>
  <conditionalFormatting sqref="O8">
    <cfRule type="cellIs" dxfId="0" priority="67" operator="notEqual">
      <formula>N8</formula>
    </cfRule>
  </conditionalFormatting>
  <conditionalFormatting sqref="O21:O23">
    <cfRule type="cellIs" dxfId="0" priority="68" operator="notEqual">
      <formula>N21</formula>
    </cfRule>
  </conditionalFormatting>
  <conditionalFormatting sqref="O26:O31">
    <cfRule type="cellIs" dxfId="0" priority="69" operator="notEqual">
      <formula>N26</formula>
    </cfRule>
  </conditionalFormatting>
  <conditionalFormatting sqref="O34:O37">
    <cfRule type="cellIs" dxfId="0" priority="70" operator="notEqual">
      <formula>N34</formula>
    </cfRule>
  </conditionalFormatting>
  <conditionalFormatting sqref="S13:S14">
    <cfRule type="cellIs" dxfId="0" priority="71" operator="notEqual">
      <formula>R13</formula>
    </cfRule>
  </conditionalFormatting>
  <conditionalFormatting sqref="S24:S25">
    <cfRule type="cellIs" dxfId="0" priority="72" operator="notEqual">
      <formula>R24</formula>
    </cfRule>
  </conditionalFormatting>
  <conditionalFormatting sqref="S38:S45">
    <cfRule type="cellIs" dxfId="0" priority="73" operator="notEqual">
      <formula>R38</formula>
    </cfRule>
  </conditionalFormatting>
  <conditionalFormatting sqref="S43">
    <cfRule type="cellIs" dxfId="0" priority="74" operator="notEqual">
      <formula>R43</formula>
    </cfRule>
  </conditionalFormatting>
  <conditionalFormatting sqref="F11:F12">
    <cfRule type="cellIs" dxfId="0" priority="75" operator="notEqual">
      <formula>E11</formula>
    </cfRule>
  </conditionalFormatting>
  <conditionalFormatting sqref="F15:F16">
    <cfRule type="cellIs" dxfId="0" priority="76" operator="notEqual">
      <formula>E15</formula>
    </cfRule>
  </conditionalFormatting>
  <conditionalFormatting sqref="J9:J10">
    <cfRule type="cellIs" dxfId="0" priority="77" operator="notEqual">
      <formula>I9</formula>
    </cfRule>
  </conditionalFormatting>
  <conditionalFormatting sqref="J17:J20">
    <cfRule type="cellIs" dxfId="0" priority="78" operator="notEqual">
      <formula>I17</formula>
    </cfRule>
  </conditionalFormatting>
  <conditionalFormatting sqref="J32:J33">
    <cfRule type="cellIs" dxfId="0" priority="79" operator="notEqual">
      <formula>I32</formula>
    </cfRule>
  </conditionalFormatting>
  <conditionalFormatting sqref="J47:J51">
    <cfRule type="cellIs" dxfId="0" priority="80" operator="notEqual">
      <formula>I47</formula>
    </cfRule>
  </conditionalFormatting>
  <conditionalFormatting sqref="F8">
    <cfRule type="cellIs" dxfId="0" priority="81" operator="notEqual">
      <formula>E8</formula>
    </cfRule>
  </conditionalFormatting>
  <conditionalFormatting sqref="F21:F23">
    <cfRule type="cellIs" dxfId="0" priority="82" operator="notEqual">
      <formula>E21</formula>
    </cfRule>
  </conditionalFormatting>
  <conditionalFormatting sqref="F26:F31">
    <cfRule type="cellIs" dxfId="0" priority="83" operator="notEqual">
      <formula>E26</formula>
    </cfRule>
  </conditionalFormatting>
  <conditionalFormatting sqref="F34:F37">
    <cfRule type="cellIs" dxfId="0" priority="84" operator="notEqual">
      <formula>E34</formula>
    </cfRule>
  </conditionalFormatting>
  <conditionalFormatting sqref="J13:J14">
    <cfRule type="cellIs" dxfId="0" priority="85" operator="notEqual">
      <formula>I13</formula>
    </cfRule>
  </conditionalFormatting>
  <conditionalFormatting sqref="J24:J25">
    <cfRule type="cellIs" dxfId="0" priority="86" operator="notEqual">
      <formula>I24</formula>
    </cfRule>
  </conditionalFormatting>
  <conditionalFormatting sqref="J38:J45">
    <cfRule type="cellIs" dxfId="0" priority="87" operator="notEqual">
      <formula>I38</formula>
    </cfRule>
  </conditionalFormatting>
  <conditionalFormatting sqref="J43">
    <cfRule type="cellIs" dxfId="0" priority="88" operator="notEqual">
      <formula>I43</formula>
    </cfRule>
  </conditionalFormatting>
  <printOptions horizontalCentered="1"/>
  <pageMargins bottom="0.3937007874015748" footer="0.0" header="0.0" left="0.3937007874015748" right="0.3937007874015748" top="0.3937007874015748"/>
  <pageSetup paperSize="9" orientation="portrait"/>
  <headerFooter>
    <oddFooter>&amp;L&amp;F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 outlineLevelRow="1"/>
  <cols>
    <col customWidth="1" min="1" max="1" width="3.71"/>
    <col customWidth="1" min="2" max="2" width="59.0"/>
    <col customWidth="1" min="3" max="3" width="7.43"/>
    <col customWidth="1" min="4" max="4" width="15.71"/>
    <col customWidth="1" min="5" max="5" width="13.86"/>
    <col customWidth="1" min="6" max="6" width="15.86"/>
    <col customWidth="1" min="7" max="7" width="14.0"/>
    <col customWidth="1" min="8" max="8" width="13.14"/>
    <col customWidth="1" min="9" max="9" width="14.71"/>
    <col customWidth="1" min="10" max="26" width="8.71"/>
  </cols>
  <sheetData>
    <row r="1" ht="17.25" customHeight="1">
      <c r="A1" s="34"/>
      <c r="B1" s="35" t="s">
        <v>17</v>
      </c>
      <c r="C1" s="105" t="s">
        <v>111</v>
      </c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ht="17.25" customHeight="1">
      <c r="A2" s="41"/>
      <c r="B2" s="42" t="s">
        <v>19</v>
      </c>
      <c r="C2" s="106" t="s">
        <v>112</v>
      </c>
      <c r="D2" s="107"/>
      <c r="E2" s="107"/>
      <c r="F2" s="107"/>
      <c r="G2" s="107"/>
      <c r="H2" s="107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ht="17.25" customHeight="1">
      <c r="A3" s="41"/>
      <c r="B3" s="46" t="s">
        <v>113</v>
      </c>
      <c r="C3" s="48" t="s">
        <v>114</v>
      </c>
      <c r="D3" s="108" t="s">
        <v>115</v>
      </c>
      <c r="E3" s="108" t="s">
        <v>115</v>
      </c>
      <c r="F3" s="109" t="s">
        <v>115</v>
      </c>
      <c r="G3" s="108" t="s">
        <v>115</v>
      </c>
      <c r="H3" s="108" t="s">
        <v>115</v>
      </c>
      <c r="I3" s="108" t="s">
        <v>115</v>
      </c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ht="17.25" customHeight="1">
      <c r="A4" s="41"/>
      <c r="B4" s="46" t="s">
        <v>116</v>
      </c>
      <c r="C4" s="59"/>
      <c r="D4" s="108" t="s">
        <v>117</v>
      </c>
      <c r="E4" s="108" t="s">
        <v>117</v>
      </c>
      <c r="F4" s="109" t="s">
        <v>117</v>
      </c>
      <c r="G4" s="108" t="s">
        <v>117</v>
      </c>
      <c r="H4" s="108" t="s">
        <v>117</v>
      </c>
      <c r="I4" s="108" t="s">
        <v>117</v>
      </c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ht="21.0" customHeight="1">
      <c r="A5" s="41"/>
      <c r="B5" s="57" t="s">
        <v>118</v>
      </c>
      <c r="C5" s="110"/>
      <c r="D5" s="111"/>
      <c r="E5" s="111"/>
      <c r="F5" s="111"/>
      <c r="G5" s="111"/>
      <c r="H5" s="111"/>
      <c r="I5" s="111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ht="17.25" customHeight="1">
      <c r="A6" s="41"/>
      <c r="B6" s="46" t="s">
        <v>37</v>
      </c>
      <c r="C6" s="112"/>
      <c r="D6" s="60" t="s">
        <v>119</v>
      </c>
      <c r="E6" s="60" t="s">
        <v>120</v>
      </c>
      <c r="F6" s="60" t="s">
        <v>121</v>
      </c>
      <c r="G6" s="60" t="s">
        <v>122</v>
      </c>
      <c r="H6" s="60" t="s">
        <v>123</v>
      </c>
      <c r="I6" s="60" t="s">
        <v>124</v>
      </c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ht="17.25" customHeight="1">
      <c r="A7" s="41"/>
      <c r="B7" s="46" t="s">
        <v>38</v>
      </c>
      <c r="C7" s="78">
        <v>0.0</v>
      </c>
      <c r="D7" s="113">
        <v>45469.0</v>
      </c>
      <c r="E7" s="113"/>
      <c r="F7" s="113"/>
      <c r="G7" s="113"/>
      <c r="H7" s="113"/>
      <c r="I7" s="113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17.25" customHeight="1">
      <c r="A8" s="69"/>
      <c r="B8" s="70" t="s">
        <v>39</v>
      </c>
      <c r="C8" s="78">
        <v>12.0</v>
      </c>
      <c r="D8" s="64">
        <f>IFERROR(($D$7+(7*C8)),"NA")</f>
        <v>45553</v>
      </c>
      <c r="E8" s="64"/>
      <c r="F8" s="64"/>
      <c r="G8" s="64"/>
      <c r="H8" s="64"/>
      <c r="I8" s="64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ht="17.25" customHeight="1">
      <c r="A9" s="69"/>
      <c r="B9" s="75" t="s">
        <v>40</v>
      </c>
      <c r="C9" s="78">
        <v>3.0</v>
      </c>
      <c r="D9" s="64">
        <f t="shared" ref="D9:D15" si="2">IFERROR(($D$8+(7*C9)),"NA")</f>
        <v>45574</v>
      </c>
      <c r="E9" s="64">
        <f t="shared" ref="E9:I9" si="1">D9+28</f>
        <v>45602</v>
      </c>
      <c r="F9" s="64">
        <f t="shared" si="1"/>
        <v>45630</v>
      </c>
      <c r="G9" s="64">
        <f t="shared" si="1"/>
        <v>45658</v>
      </c>
      <c r="H9" s="64">
        <f t="shared" si="1"/>
        <v>45686</v>
      </c>
      <c r="I9" s="64">
        <f t="shared" si="1"/>
        <v>45714</v>
      </c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ht="17.25" customHeight="1">
      <c r="A10" s="69"/>
      <c r="B10" s="75" t="s">
        <v>41</v>
      </c>
      <c r="C10" s="78">
        <v>8.0</v>
      </c>
      <c r="D10" s="64">
        <f t="shared" si="2"/>
        <v>45609</v>
      </c>
      <c r="E10" s="64">
        <f t="shared" ref="E10:I10" si="3">D10+28</f>
        <v>45637</v>
      </c>
      <c r="F10" s="64">
        <f t="shared" si="3"/>
        <v>45665</v>
      </c>
      <c r="G10" s="64">
        <f t="shared" si="3"/>
        <v>45693</v>
      </c>
      <c r="H10" s="64">
        <f t="shared" si="3"/>
        <v>45721</v>
      </c>
      <c r="I10" s="64">
        <f t="shared" si="3"/>
        <v>45749</v>
      </c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ht="17.25" customHeight="1" outlineLevel="1">
      <c r="A11" s="69"/>
      <c r="B11" s="82" t="s">
        <v>125</v>
      </c>
      <c r="C11" s="78">
        <v>4.0</v>
      </c>
      <c r="D11" s="64">
        <f t="shared" si="2"/>
        <v>45581</v>
      </c>
      <c r="E11" s="64">
        <f t="shared" ref="E11:I11" si="4">D11+28</f>
        <v>45609</v>
      </c>
      <c r="F11" s="64">
        <f t="shared" si="4"/>
        <v>45637</v>
      </c>
      <c r="G11" s="64">
        <f t="shared" si="4"/>
        <v>45665</v>
      </c>
      <c r="H11" s="64">
        <f t="shared" si="4"/>
        <v>45693</v>
      </c>
      <c r="I11" s="64">
        <f t="shared" si="4"/>
        <v>45721</v>
      </c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ht="17.25" customHeight="1" outlineLevel="1">
      <c r="A12" s="69"/>
      <c r="B12" s="86" t="s">
        <v>45</v>
      </c>
      <c r="C12" s="78">
        <v>4.0</v>
      </c>
      <c r="D12" s="64">
        <f t="shared" si="2"/>
        <v>45581</v>
      </c>
      <c r="E12" s="64">
        <f t="shared" ref="E12:I12" si="5">D12+28</f>
        <v>45609</v>
      </c>
      <c r="F12" s="64">
        <f t="shared" si="5"/>
        <v>45637</v>
      </c>
      <c r="G12" s="64">
        <f t="shared" si="5"/>
        <v>45665</v>
      </c>
      <c r="H12" s="64">
        <f t="shared" si="5"/>
        <v>45693</v>
      </c>
      <c r="I12" s="64">
        <f t="shared" si="5"/>
        <v>45721</v>
      </c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ht="17.25" customHeight="1">
      <c r="A13" s="69"/>
      <c r="B13" s="75" t="s">
        <v>46</v>
      </c>
      <c r="C13" s="78">
        <v>12.0</v>
      </c>
      <c r="D13" s="64">
        <f t="shared" si="2"/>
        <v>45637</v>
      </c>
      <c r="E13" s="64">
        <f t="shared" ref="E13:I13" si="6">D13+28</f>
        <v>45665</v>
      </c>
      <c r="F13" s="64">
        <f t="shared" si="6"/>
        <v>45693</v>
      </c>
      <c r="G13" s="64">
        <f t="shared" si="6"/>
        <v>45721</v>
      </c>
      <c r="H13" s="64">
        <f t="shared" si="6"/>
        <v>45749</v>
      </c>
      <c r="I13" s="64">
        <f t="shared" si="6"/>
        <v>45777</v>
      </c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ht="17.25" customHeight="1">
      <c r="A14" s="69"/>
      <c r="B14" s="75" t="s">
        <v>47</v>
      </c>
      <c r="C14" s="78">
        <v>16.0</v>
      </c>
      <c r="D14" s="64">
        <f t="shared" si="2"/>
        <v>45665</v>
      </c>
      <c r="E14" s="64">
        <f t="shared" ref="E14:I14" si="7">D14+28</f>
        <v>45693</v>
      </c>
      <c r="F14" s="64">
        <f t="shared" si="7"/>
        <v>45721</v>
      </c>
      <c r="G14" s="64">
        <f t="shared" si="7"/>
        <v>45749</v>
      </c>
      <c r="H14" s="64">
        <f t="shared" si="7"/>
        <v>45777</v>
      </c>
      <c r="I14" s="64">
        <f t="shared" si="7"/>
        <v>45805</v>
      </c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ht="17.25" customHeight="1" outlineLevel="1">
      <c r="A15" s="69"/>
      <c r="B15" s="87" t="s">
        <v>126</v>
      </c>
      <c r="C15" s="78">
        <v>12.0</v>
      </c>
      <c r="D15" s="64">
        <f t="shared" si="2"/>
        <v>45637</v>
      </c>
      <c r="E15" s="64">
        <f t="shared" ref="E15:I15" si="8">D15+28</f>
        <v>45665</v>
      </c>
      <c r="F15" s="64">
        <f t="shared" si="8"/>
        <v>45693</v>
      </c>
      <c r="G15" s="64">
        <f t="shared" si="8"/>
        <v>45721</v>
      </c>
      <c r="H15" s="64">
        <f t="shared" si="8"/>
        <v>45749</v>
      </c>
      <c r="I15" s="64">
        <f t="shared" si="8"/>
        <v>45777</v>
      </c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ht="17.25" customHeight="1" outlineLevel="1">
      <c r="A16" s="69"/>
      <c r="B16" s="86" t="s">
        <v>51</v>
      </c>
      <c r="C16" s="78" t="s">
        <v>52</v>
      </c>
      <c r="D16" s="64"/>
      <c r="E16" s="64"/>
      <c r="F16" s="64"/>
      <c r="G16" s="64"/>
      <c r="H16" s="64"/>
      <c r="I16" s="64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ht="17.25" customHeight="1">
      <c r="A17" s="69"/>
      <c r="B17" s="70" t="s">
        <v>127</v>
      </c>
      <c r="C17" s="78">
        <v>20.0</v>
      </c>
      <c r="D17" s="64">
        <f t="shared" ref="D17:D52" si="10">IFERROR(($D$8+(7*C17)),"NA")</f>
        <v>45693</v>
      </c>
      <c r="E17" s="64">
        <f t="shared" ref="E17:I17" si="9">D17+28</f>
        <v>45721</v>
      </c>
      <c r="F17" s="64">
        <f t="shared" si="9"/>
        <v>45749</v>
      </c>
      <c r="G17" s="64">
        <f t="shared" si="9"/>
        <v>45777</v>
      </c>
      <c r="H17" s="64">
        <f t="shared" si="9"/>
        <v>45805</v>
      </c>
      <c r="I17" s="64">
        <f t="shared" si="9"/>
        <v>45833</v>
      </c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ht="17.25" customHeight="1">
      <c r="A18" s="69"/>
      <c r="B18" s="75" t="s">
        <v>56</v>
      </c>
      <c r="C18" s="78">
        <v>18.0</v>
      </c>
      <c r="D18" s="64">
        <f t="shared" si="10"/>
        <v>45679</v>
      </c>
      <c r="E18" s="64">
        <f t="shared" ref="E18:I18" si="11">D18+28</f>
        <v>45707</v>
      </c>
      <c r="F18" s="64">
        <f t="shared" si="11"/>
        <v>45735</v>
      </c>
      <c r="G18" s="64">
        <f t="shared" si="11"/>
        <v>45763</v>
      </c>
      <c r="H18" s="64">
        <f t="shared" si="11"/>
        <v>45791</v>
      </c>
      <c r="I18" s="64">
        <f t="shared" si="11"/>
        <v>45819</v>
      </c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ht="17.25" customHeight="1">
      <c r="A19" s="69"/>
      <c r="B19" s="75" t="s">
        <v>57</v>
      </c>
      <c r="C19" s="78">
        <v>24.0</v>
      </c>
      <c r="D19" s="64">
        <f t="shared" si="10"/>
        <v>45721</v>
      </c>
      <c r="E19" s="64">
        <f t="shared" ref="E19:I19" si="12">D19+28</f>
        <v>45749</v>
      </c>
      <c r="F19" s="64">
        <f t="shared" si="12"/>
        <v>45777</v>
      </c>
      <c r="G19" s="64">
        <f t="shared" si="12"/>
        <v>45805</v>
      </c>
      <c r="H19" s="64">
        <f t="shared" si="12"/>
        <v>45833</v>
      </c>
      <c r="I19" s="64">
        <f t="shared" si="12"/>
        <v>45861</v>
      </c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ht="17.25" customHeight="1">
      <c r="A20" s="69"/>
      <c r="B20" s="75" t="s">
        <v>59</v>
      </c>
      <c r="C20" s="78">
        <v>24.0</v>
      </c>
      <c r="D20" s="64">
        <f t="shared" si="10"/>
        <v>45721</v>
      </c>
      <c r="E20" s="64">
        <f t="shared" ref="E20:I20" si="13">D20+28</f>
        <v>45749</v>
      </c>
      <c r="F20" s="64">
        <f t="shared" si="13"/>
        <v>45777</v>
      </c>
      <c r="G20" s="64">
        <f t="shared" si="13"/>
        <v>45805</v>
      </c>
      <c r="H20" s="64">
        <f t="shared" si="13"/>
        <v>45833</v>
      </c>
      <c r="I20" s="64">
        <f t="shared" si="13"/>
        <v>45861</v>
      </c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ht="17.25" customHeight="1" outlineLevel="1">
      <c r="A21" s="69"/>
      <c r="B21" s="87" t="s">
        <v>128</v>
      </c>
      <c r="C21" s="78">
        <v>15.0</v>
      </c>
      <c r="D21" s="64">
        <f t="shared" si="10"/>
        <v>45658</v>
      </c>
      <c r="E21" s="64">
        <f t="shared" ref="E21:I21" si="14">D21+28</f>
        <v>45686</v>
      </c>
      <c r="F21" s="64">
        <f t="shared" si="14"/>
        <v>45714</v>
      </c>
      <c r="G21" s="64">
        <f t="shared" si="14"/>
        <v>45742</v>
      </c>
      <c r="H21" s="64">
        <f t="shared" si="14"/>
        <v>45770</v>
      </c>
      <c r="I21" s="64">
        <f t="shared" si="14"/>
        <v>45798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ht="17.25" customHeight="1" outlineLevel="1">
      <c r="A22" s="69"/>
      <c r="B22" s="82" t="s">
        <v>129</v>
      </c>
      <c r="C22" s="78">
        <v>20.0</v>
      </c>
      <c r="D22" s="64">
        <f t="shared" si="10"/>
        <v>45693</v>
      </c>
      <c r="E22" s="64">
        <f t="shared" ref="E22:I22" si="15">D22+28</f>
        <v>45721</v>
      </c>
      <c r="F22" s="64">
        <f t="shared" si="15"/>
        <v>45749</v>
      </c>
      <c r="G22" s="64">
        <f t="shared" si="15"/>
        <v>45777</v>
      </c>
      <c r="H22" s="64">
        <f t="shared" si="15"/>
        <v>45805</v>
      </c>
      <c r="I22" s="64">
        <f t="shared" si="15"/>
        <v>45833</v>
      </c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ht="17.25" customHeight="1" outlineLevel="1">
      <c r="A23" s="69"/>
      <c r="B23" s="82" t="s">
        <v>130</v>
      </c>
      <c r="C23" s="78">
        <v>22.0</v>
      </c>
      <c r="D23" s="64">
        <f t="shared" si="10"/>
        <v>45707</v>
      </c>
      <c r="E23" s="64">
        <f t="shared" ref="E23:I23" si="16">D23+28</f>
        <v>45735</v>
      </c>
      <c r="F23" s="64">
        <f t="shared" si="16"/>
        <v>45763</v>
      </c>
      <c r="G23" s="64">
        <f t="shared" si="16"/>
        <v>45791</v>
      </c>
      <c r="H23" s="64">
        <f t="shared" si="16"/>
        <v>45819</v>
      </c>
      <c r="I23" s="64">
        <f t="shared" si="16"/>
        <v>45847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ht="17.25" customHeight="1">
      <c r="A24" s="69"/>
      <c r="B24" s="70" t="s">
        <v>131</v>
      </c>
      <c r="C24" s="78">
        <v>28.0</v>
      </c>
      <c r="D24" s="64">
        <f t="shared" si="10"/>
        <v>45749</v>
      </c>
      <c r="E24" s="64">
        <f t="shared" ref="E24:I24" si="17">D24+28</f>
        <v>45777</v>
      </c>
      <c r="F24" s="64">
        <f t="shared" si="17"/>
        <v>45805</v>
      </c>
      <c r="G24" s="64">
        <f t="shared" si="17"/>
        <v>45833</v>
      </c>
      <c r="H24" s="64">
        <f t="shared" si="17"/>
        <v>45861</v>
      </c>
      <c r="I24" s="64">
        <f t="shared" si="17"/>
        <v>45889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ht="17.25" customHeight="1">
      <c r="A25" s="69"/>
      <c r="B25" s="75" t="s">
        <v>68</v>
      </c>
      <c r="C25" s="78">
        <v>32.0</v>
      </c>
      <c r="D25" s="64">
        <f t="shared" si="10"/>
        <v>45777</v>
      </c>
      <c r="E25" s="64">
        <f t="shared" ref="E25:I25" si="18">D25+28</f>
        <v>45805</v>
      </c>
      <c r="F25" s="64">
        <f t="shared" si="18"/>
        <v>45833</v>
      </c>
      <c r="G25" s="64">
        <f t="shared" si="18"/>
        <v>45861</v>
      </c>
      <c r="H25" s="64">
        <f t="shared" si="18"/>
        <v>45889</v>
      </c>
      <c r="I25" s="64">
        <f t="shared" si="18"/>
        <v>45917</v>
      </c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ht="17.25" customHeight="1" outlineLevel="1">
      <c r="A26" s="69"/>
      <c r="B26" s="86" t="s">
        <v>70</v>
      </c>
      <c r="C26" s="78">
        <v>26.0</v>
      </c>
      <c r="D26" s="64">
        <f t="shared" si="10"/>
        <v>45735</v>
      </c>
      <c r="E26" s="64">
        <f t="shared" ref="E26:I26" si="19">D26+28</f>
        <v>45763</v>
      </c>
      <c r="F26" s="64">
        <f t="shared" si="19"/>
        <v>45791</v>
      </c>
      <c r="G26" s="64">
        <f t="shared" si="19"/>
        <v>45819</v>
      </c>
      <c r="H26" s="64">
        <f t="shared" si="19"/>
        <v>45847</v>
      </c>
      <c r="I26" s="64">
        <f t="shared" si="19"/>
        <v>45875</v>
      </c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ht="17.25" customHeight="1" outlineLevel="1">
      <c r="A27" s="69"/>
      <c r="B27" s="82" t="s">
        <v>132</v>
      </c>
      <c r="C27" s="78">
        <v>26.0</v>
      </c>
      <c r="D27" s="64">
        <f t="shared" si="10"/>
        <v>45735</v>
      </c>
      <c r="E27" s="64">
        <f t="shared" ref="E27:I27" si="20">D27+28</f>
        <v>45763</v>
      </c>
      <c r="F27" s="64">
        <f t="shared" si="20"/>
        <v>45791</v>
      </c>
      <c r="G27" s="64">
        <f t="shared" si="20"/>
        <v>45819</v>
      </c>
      <c r="H27" s="64">
        <f t="shared" si="20"/>
        <v>45847</v>
      </c>
      <c r="I27" s="64">
        <f t="shared" si="20"/>
        <v>45875</v>
      </c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ht="17.25" customHeight="1" outlineLevel="1">
      <c r="A28" s="69"/>
      <c r="B28" s="82" t="s">
        <v>133</v>
      </c>
      <c r="C28" s="78">
        <v>28.0</v>
      </c>
      <c r="D28" s="64">
        <f t="shared" si="10"/>
        <v>45749</v>
      </c>
      <c r="E28" s="64">
        <f t="shared" ref="E28:I28" si="21">D28+28</f>
        <v>45777</v>
      </c>
      <c r="F28" s="64">
        <f t="shared" si="21"/>
        <v>45805</v>
      </c>
      <c r="G28" s="64">
        <f t="shared" si="21"/>
        <v>45833</v>
      </c>
      <c r="H28" s="64">
        <f t="shared" si="21"/>
        <v>45861</v>
      </c>
      <c r="I28" s="64">
        <f t="shared" si="21"/>
        <v>45889</v>
      </c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ht="17.25" customHeight="1" outlineLevel="1">
      <c r="A29" s="69"/>
      <c r="B29" s="82" t="s">
        <v>134</v>
      </c>
      <c r="C29" s="78">
        <v>28.0</v>
      </c>
      <c r="D29" s="64">
        <f t="shared" si="10"/>
        <v>45749</v>
      </c>
      <c r="E29" s="64">
        <f t="shared" ref="E29:I29" si="22">D29+28</f>
        <v>45777</v>
      </c>
      <c r="F29" s="64">
        <f t="shared" si="22"/>
        <v>45805</v>
      </c>
      <c r="G29" s="64">
        <f t="shared" si="22"/>
        <v>45833</v>
      </c>
      <c r="H29" s="64">
        <f t="shared" si="22"/>
        <v>45861</v>
      </c>
      <c r="I29" s="64">
        <f t="shared" si="22"/>
        <v>45889</v>
      </c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ht="17.25" customHeight="1" outlineLevel="1">
      <c r="A30" s="69"/>
      <c r="B30" s="82" t="s">
        <v>135</v>
      </c>
      <c r="C30" s="78">
        <v>30.0</v>
      </c>
      <c r="D30" s="64">
        <f t="shared" si="10"/>
        <v>45763</v>
      </c>
      <c r="E30" s="64">
        <f t="shared" ref="E30:I30" si="23">D30+28</f>
        <v>45791</v>
      </c>
      <c r="F30" s="64">
        <f t="shared" si="23"/>
        <v>45819</v>
      </c>
      <c r="G30" s="64">
        <f t="shared" si="23"/>
        <v>45847</v>
      </c>
      <c r="H30" s="64">
        <f t="shared" si="23"/>
        <v>45875</v>
      </c>
      <c r="I30" s="64">
        <f t="shared" si="23"/>
        <v>45903</v>
      </c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ht="17.25" customHeight="1" outlineLevel="1">
      <c r="A31" s="69"/>
      <c r="B31" s="86" t="s">
        <v>78</v>
      </c>
      <c r="C31" s="78">
        <v>28.0</v>
      </c>
      <c r="D31" s="64">
        <f t="shared" si="10"/>
        <v>45749</v>
      </c>
      <c r="E31" s="64">
        <f t="shared" ref="E31:I31" si="24">D31+28</f>
        <v>45777</v>
      </c>
      <c r="F31" s="64">
        <f t="shared" si="24"/>
        <v>45805</v>
      </c>
      <c r="G31" s="64">
        <f t="shared" si="24"/>
        <v>45833</v>
      </c>
      <c r="H31" s="64">
        <f t="shared" si="24"/>
        <v>45861</v>
      </c>
      <c r="I31" s="64">
        <f t="shared" si="24"/>
        <v>45889</v>
      </c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ht="17.25" customHeight="1">
      <c r="A32" s="69"/>
      <c r="B32" s="70" t="s">
        <v>136</v>
      </c>
      <c r="C32" s="78">
        <v>36.0</v>
      </c>
      <c r="D32" s="64">
        <f t="shared" si="10"/>
        <v>45805</v>
      </c>
      <c r="E32" s="64">
        <f t="shared" ref="E32:I32" si="25">D32+28</f>
        <v>45833</v>
      </c>
      <c r="F32" s="64">
        <f t="shared" si="25"/>
        <v>45861</v>
      </c>
      <c r="G32" s="64">
        <f t="shared" si="25"/>
        <v>45889</v>
      </c>
      <c r="H32" s="64">
        <f t="shared" si="25"/>
        <v>45917</v>
      </c>
      <c r="I32" s="64">
        <f t="shared" si="25"/>
        <v>45945</v>
      </c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ht="17.25" customHeight="1">
      <c r="A33" s="69"/>
      <c r="B33" s="75" t="s">
        <v>82</v>
      </c>
      <c r="C33" s="78">
        <v>48.0</v>
      </c>
      <c r="D33" s="64">
        <f t="shared" si="10"/>
        <v>45889</v>
      </c>
      <c r="E33" s="64">
        <f t="shared" ref="E33:I33" si="26">D33+28</f>
        <v>45917</v>
      </c>
      <c r="F33" s="64">
        <f t="shared" si="26"/>
        <v>45945</v>
      </c>
      <c r="G33" s="64">
        <f t="shared" si="26"/>
        <v>45973</v>
      </c>
      <c r="H33" s="64">
        <f t="shared" si="26"/>
        <v>46001</v>
      </c>
      <c r="I33" s="64">
        <f t="shared" si="26"/>
        <v>46029</v>
      </c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ht="17.25" customHeight="1" outlineLevel="1">
      <c r="A34" s="69"/>
      <c r="B34" s="87" t="s">
        <v>137</v>
      </c>
      <c r="C34" s="78">
        <v>40.0</v>
      </c>
      <c r="D34" s="64">
        <f t="shared" si="10"/>
        <v>45833</v>
      </c>
      <c r="E34" s="64">
        <f t="shared" ref="E34:I34" si="27">D34+28</f>
        <v>45861</v>
      </c>
      <c r="F34" s="64">
        <f t="shared" si="27"/>
        <v>45889</v>
      </c>
      <c r="G34" s="64">
        <f t="shared" si="27"/>
        <v>45917</v>
      </c>
      <c r="H34" s="64">
        <f t="shared" si="27"/>
        <v>45945</v>
      </c>
      <c r="I34" s="64">
        <f t="shared" si="27"/>
        <v>45973</v>
      </c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ht="17.25" customHeight="1" outlineLevel="1">
      <c r="A35" s="69"/>
      <c r="B35" s="82" t="s">
        <v>138</v>
      </c>
      <c r="C35" s="78">
        <v>42.0</v>
      </c>
      <c r="D35" s="64">
        <f t="shared" si="10"/>
        <v>45847</v>
      </c>
      <c r="E35" s="64">
        <f t="shared" ref="E35:I35" si="28">D35+28</f>
        <v>45875</v>
      </c>
      <c r="F35" s="64">
        <f t="shared" si="28"/>
        <v>45903</v>
      </c>
      <c r="G35" s="64">
        <f t="shared" si="28"/>
        <v>45931</v>
      </c>
      <c r="H35" s="64">
        <f t="shared" si="28"/>
        <v>45959</v>
      </c>
      <c r="I35" s="64">
        <f t="shared" si="28"/>
        <v>45987</v>
      </c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ht="17.25" customHeight="1" outlineLevel="1">
      <c r="A36" s="69"/>
      <c r="B36" s="82" t="s">
        <v>139</v>
      </c>
      <c r="C36" s="78">
        <v>46.0</v>
      </c>
      <c r="D36" s="64">
        <f t="shared" si="10"/>
        <v>45875</v>
      </c>
      <c r="E36" s="64">
        <f t="shared" ref="E36:I36" si="29">D36+28</f>
        <v>45903</v>
      </c>
      <c r="F36" s="64">
        <f t="shared" si="29"/>
        <v>45931</v>
      </c>
      <c r="G36" s="64">
        <f t="shared" si="29"/>
        <v>45959</v>
      </c>
      <c r="H36" s="64">
        <f t="shared" si="29"/>
        <v>45987</v>
      </c>
      <c r="I36" s="64">
        <f t="shared" si="29"/>
        <v>46015</v>
      </c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ht="17.25" customHeight="1" outlineLevel="1">
      <c r="A37" s="69"/>
      <c r="B37" s="86" t="s">
        <v>89</v>
      </c>
      <c r="C37" s="78">
        <v>46.0</v>
      </c>
      <c r="D37" s="64">
        <f t="shared" si="10"/>
        <v>45875</v>
      </c>
      <c r="E37" s="64">
        <f t="shared" ref="E37:I37" si="30">D37+28</f>
        <v>45903</v>
      </c>
      <c r="F37" s="64">
        <f t="shared" si="30"/>
        <v>45931</v>
      </c>
      <c r="G37" s="64">
        <f t="shared" si="30"/>
        <v>45959</v>
      </c>
      <c r="H37" s="64">
        <f t="shared" si="30"/>
        <v>45987</v>
      </c>
      <c r="I37" s="64">
        <f t="shared" si="30"/>
        <v>46015</v>
      </c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ht="17.25" customHeight="1">
      <c r="A38" s="69"/>
      <c r="B38" s="70" t="s">
        <v>140</v>
      </c>
      <c r="C38" s="78">
        <v>52.0</v>
      </c>
      <c r="D38" s="64">
        <f t="shared" si="10"/>
        <v>45917</v>
      </c>
      <c r="E38" s="64">
        <f t="shared" ref="E38:I38" si="31">D38+28</f>
        <v>45945</v>
      </c>
      <c r="F38" s="64">
        <f t="shared" si="31"/>
        <v>45973</v>
      </c>
      <c r="G38" s="64">
        <f t="shared" si="31"/>
        <v>46001</v>
      </c>
      <c r="H38" s="64">
        <f t="shared" si="31"/>
        <v>46029</v>
      </c>
      <c r="I38" s="64">
        <f t="shared" si="31"/>
        <v>46057</v>
      </c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ht="17.25" customHeight="1">
      <c r="A39" s="69"/>
      <c r="B39" s="75" t="s">
        <v>93</v>
      </c>
      <c r="C39" s="78">
        <v>44.0</v>
      </c>
      <c r="D39" s="64">
        <f t="shared" si="10"/>
        <v>45861</v>
      </c>
      <c r="E39" s="64">
        <f t="shared" ref="E39:I39" si="32">D39+28</f>
        <v>45889</v>
      </c>
      <c r="F39" s="64">
        <f t="shared" si="32"/>
        <v>45917</v>
      </c>
      <c r="G39" s="64">
        <f t="shared" si="32"/>
        <v>45945</v>
      </c>
      <c r="H39" s="64">
        <f t="shared" si="32"/>
        <v>45973</v>
      </c>
      <c r="I39" s="64">
        <f t="shared" si="32"/>
        <v>46001</v>
      </c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ht="17.25" customHeight="1">
      <c r="A40" s="69"/>
      <c r="B40" s="75" t="s">
        <v>94</v>
      </c>
      <c r="C40" s="78">
        <v>74.0</v>
      </c>
      <c r="D40" s="64">
        <f t="shared" si="10"/>
        <v>46071</v>
      </c>
      <c r="E40" s="64">
        <f t="shared" ref="E40:I40" si="33">D40+28</f>
        <v>46099</v>
      </c>
      <c r="F40" s="64">
        <f t="shared" si="33"/>
        <v>46127</v>
      </c>
      <c r="G40" s="64">
        <f t="shared" si="33"/>
        <v>46155</v>
      </c>
      <c r="H40" s="64">
        <f t="shared" si="33"/>
        <v>46183</v>
      </c>
      <c r="I40" s="64">
        <f t="shared" si="33"/>
        <v>46211</v>
      </c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ht="17.25" customHeight="1">
      <c r="A41" s="69"/>
      <c r="B41" s="75" t="s">
        <v>95</v>
      </c>
      <c r="C41" s="78">
        <v>71.0</v>
      </c>
      <c r="D41" s="64">
        <f t="shared" si="10"/>
        <v>46050</v>
      </c>
      <c r="E41" s="64">
        <f t="shared" ref="E41:I41" si="34">D41+28</f>
        <v>46078</v>
      </c>
      <c r="F41" s="64">
        <f t="shared" si="34"/>
        <v>46106</v>
      </c>
      <c r="G41" s="64">
        <f t="shared" si="34"/>
        <v>46134</v>
      </c>
      <c r="H41" s="64">
        <f t="shared" si="34"/>
        <v>46162</v>
      </c>
      <c r="I41" s="64">
        <f t="shared" si="34"/>
        <v>46190</v>
      </c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ht="17.25" customHeight="1">
      <c r="A42" s="69"/>
      <c r="B42" s="75" t="s">
        <v>97</v>
      </c>
      <c r="C42" s="78">
        <v>71.0</v>
      </c>
      <c r="D42" s="64">
        <f t="shared" si="10"/>
        <v>46050</v>
      </c>
      <c r="E42" s="64">
        <f t="shared" ref="E42:I42" si="35">D42+28</f>
        <v>46078</v>
      </c>
      <c r="F42" s="64">
        <f t="shared" si="35"/>
        <v>46106</v>
      </c>
      <c r="G42" s="64">
        <f t="shared" si="35"/>
        <v>46134</v>
      </c>
      <c r="H42" s="64">
        <f t="shared" si="35"/>
        <v>46162</v>
      </c>
      <c r="I42" s="64">
        <f t="shared" si="35"/>
        <v>46190</v>
      </c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ht="17.25" customHeight="1">
      <c r="A43" s="69"/>
      <c r="B43" s="75" t="s">
        <v>99</v>
      </c>
      <c r="C43" s="78">
        <v>71.0</v>
      </c>
      <c r="D43" s="64">
        <f t="shared" si="10"/>
        <v>46050</v>
      </c>
      <c r="E43" s="64">
        <f t="shared" ref="E43:I43" si="36">D43+28</f>
        <v>46078</v>
      </c>
      <c r="F43" s="64">
        <f t="shared" si="36"/>
        <v>46106</v>
      </c>
      <c r="G43" s="64">
        <f t="shared" si="36"/>
        <v>46134</v>
      </c>
      <c r="H43" s="64">
        <f t="shared" si="36"/>
        <v>46162</v>
      </c>
      <c r="I43" s="64">
        <f t="shared" si="36"/>
        <v>46190</v>
      </c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ht="17.25" customHeight="1">
      <c r="A44" s="69"/>
      <c r="B44" s="75" t="s">
        <v>101</v>
      </c>
      <c r="C44" s="78">
        <v>83.0</v>
      </c>
      <c r="D44" s="64">
        <f t="shared" si="10"/>
        <v>46134</v>
      </c>
      <c r="E44" s="64">
        <f t="shared" ref="E44:I44" si="37">D44+28</f>
        <v>46162</v>
      </c>
      <c r="F44" s="64">
        <f t="shared" si="37"/>
        <v>46190</v>
      </c>
      <c r="G44" s="64">
        <f t="shared" si="37"/>
        <v>46218</v>
      </c>
      <c r="H44" s="64">
        <f t="shared" si="37"/>
        <v>46246</v>
      </c>
      <c r="I44" s="64">
        <f t="shared" si="37"/>
        <v>46274</v>
      </c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ht="17.25" customHeight="1">
      <c r="A45" s="69"/>
      <c r="B45" s="75" t="s">
        <v>102</v>
      </c>
      <c r="C45" s="78">
        <v>83.0</v>
      </c>
      <c r="D45" s="64">
        <f t="shared" si="10"/>
        <v>46134</v>
      </c>
      <c r="E45" s="64">
        <f t="shared" ref="E45:I45" si="38">D45+28</f>
        <v>46162</v>
      </c>
      <c r="F45" s="64">
        <f t="shared" si="38"/>
        <v>46190</v>
      </c>
      <c r="G45" s="64">
        <f t="shared" si="38"/>
        <v>46218</v>
      </c>
      <c r="H45" s="64">
        <f t="shared" si="38"/>
        <v>46246</v>
      </c>
      <c r="I45" s="64">
        <f t="shared" si="38"/>
        <v>46274</v>
      </c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ht="17.25" customHeight="1">
      <c r="A46" s="69"/>
      <c r="B46" s="114" t="s">
        <v>103</v>
      </c>
      <c r="C46" s="78" t="s">
        <v>52</v>
      </c>
      <c r="D46" s="64" t="str">
        <f t="shared" si="10"/>
        <v>NA</v>
      </c>
      <c r="E46" s="64" t="str">
        <f t="shared" ref="E46:I46" si="39">D46+28</f>
        <v>#VALUE!</v>
      </c>
      <c r="F46" s="64" t="str">
        <f t="shared" si="39"/>
        <v>#VALUE!</v>
      </c>
      <c r="G46" s="64" t="str">
        <f t="shared" si="39"/>
        <v>#VALUE!</v>
      </c>
      <c r="H46" s="64" t="str">
        <f t="shared" si="39"/>
        <v>#VALUE!</v>
      </c>
      <c r="I46" s="64" t="str">
        <f t="shared" si="39"/>
        <v>#VALUE!</v>
      </c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ht="17.25" customHeight="1">
      <c r="A47" s="69"/>
      <c r="B47" s="75" t="s">
        <v>104</v>
      </c>
      <c r="C47" s="78">
        <v>67.0</v>
      </c>
      <c r="D47" s="64">
        <f t="shared" si="10"/>
        <v>46022</v>
      </c>
      <c r="E47" s="64">
        <f t="shared" ref="E47:I47" si="40">D47+28</f>
        <v>46050</v>
      </c>
      <c r="F47" s="64">
        <f t="shared" si="40"/>
        <v>46078</v>
      </c>
      <c r="G47" s="64">
        <f t="shared" si="40"/>
        <v>46106</v>
      </c>
      <c r="H47" s="64">
        <f t="shared" si="40"/>
        <v>46134</v>
      </c>
      <c r="I47" s="64">
        <f t="shared" si="40"/>
        <v>46162</v>
      </c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ht="17.25" customHeight="1">
      <c r="A48" s="69"/>
      <c r="B48" s="70" t="s">
        <v>141</v>
      </c>
      <c r="C48" s="78">
        <v>69.0</v>
      </c>
      <c r="D48" s="64">
        <f t="shared" si="10"/>
        <v>46036</v>
      </c>
      <c r="E48" s="64">
        <f t="shared" ref="E48:I48" si="41">D48+28</f>
        <v>46064</v>
      </c>
      <c r="F48" s="64">
        <f t="shared" si="41"/>
        <v>46092</v>
      </c>
      <c r="G48" s="64">
        <f t="shared" si="41"/>
        <v>46120</v>
      </c>
      <c r="H48" s="64">
        <f t="shared" si="41"/>
        <v>46148</v>
      </c>
      <c r="I48" s="64">
        <f t="shared" si="41"/>
        <v>46176</v>
      </c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ht="17.25" customHeight="1">
      <c r="A49" s="69"/>
      <c r="B49" s="75" t="s">
        <v>107</v>
      </c>
      <c r="C49" s="78">
        <v>68.0</v>
      </c>
      <c r="D49" s="64">
        <f t="shared" si="10"/>
        <v>46029</v>
      </c>
      <c r="E49" s="64">
        <f t="shared" ref="E49:I49" si="42">D49+28</f>
        <v>46057</v>
      </c>
      <c r="F49" s="64">
        <f t="shared" si="42"/>
        <v>46085</v>
      </c>
      <c r="G49" s="64">
        <f t="shared" si="42"/>
        <v>46113</v>
      </c>
      <c r="H49" s="64">
        <f t="shared" si="42"/>
        <v>46141</v>
      </c>
      <c r="I49" s="64">
        <f t="shared" si="42"/>
        <v>46169</v>
      </c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ht="17.25" customHeight="1">
      <c r="A50" s="69"/>
      <c r="B50" s="75" t="s">
        <v>108</v>
      </c>
      <c r="C50" s="78">
        <v>88.0</v>
      </c>
      <c r="D50" s="64">
        <f t="shared" si="10"/>
        <v>46169</v>
      </c>
      <c r="E50" s="64">
        <f t="shared" ref="E50:I50" si="43">D50+28</f>
        <v>46197</v>
      </c>
      <c r="F50" s="64">
        <f t="shared" si="43"/>
        <v>46225</v>
      </c>
      <c r="G50" s="64">
        <f t="shared" si="43"/>
        <v>46253</v>
      </c>
      <c r="H50" s="64">
        <f t="shared" si="43"/>
        <v>46281</v>
      </c>
      <c r="I50" s="64">
        <f t="shared" si="43"/>
        <v>46309</v>
      </c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ht="17.25" customHeight="1">
      <c r="A51" s="69"/>
      <c r="B51" s="115" t="s">
        <v>142</v>
      </c>
      <c r="C51" s="78">
        <v>88.0</v>
      </c>
      <c r="D51" s="64">
        <f t="shared" si="10"/>
        <v>46169</v>
      </c>
      <c r="E51" s="64">
        <f t="shared" ref="E51:I51" si="44">D51+28</f>
        <v>46197</v>
      </c>
      <c r="F51" s="64">
        <f t="shared" si="44"/>
        <v>46225</v>
      </c>
      <c r="G51" s="64">
        <f t="shared" si="44"/>
        <v>46253</v>
      </c>
      <c r="H51" s="64">
        <f t="shared" si="44"/>
        <v>46281</v>
      </c>
      <c r="I51" s="64">
        <f t="shared" si="44"/>
        <v>46309</v>
      </c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ht="17.25" customHeight="1">
      <c r="A52" s="41"/>
      <c r="B52" s="96" t="s">
        <v>109</v>
      </c>
      <c r="C52" s="78">
        <v>135.0</v>
      </c>
      <c r="D52" s="64">
        <f t="shared" si="10"/>
        <v>46498</v>
      </c>
      <c r="E52" s="64">
        <f t="shared" ref="E52:I52" si="45">D52+28</f>
        <v>46526</v>
      </c>
      <c r="F52" s="64">
        <f t="shared" si="45"/>
        <v>46554</v>
      </c>
      <c r="G52" s="64">
        <f t="shared" si="45"/>
        <v>46582</v>
      </c>
      <c r="H52" s="64">
        <f t="shared" si="45"/>
        <v>46610</v>
      </c>
      <c r="I52" s="64">
        <f t="shared" si="45"/>
        <v>46638</v>
      </c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ht="17.25" customHeight="1">
      <c r="A53" s="69"/>
      <c r="B53" s="102"/>
      <c r="C53" s="116"/>
      <c r="D53" s="103"/>
      <c r="E53" s="103"/>
      <c r="F53" s="103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ht="15.75" customHeight="1">
      <c r="C54" s="117"/>
    </row>
    <row r="55" ht="15.75" customHeight="1">
      <c r="C55" s="117"/>
    </row>
    <row r="56" ht="15.75" customHeight="1">
      <c r="C56" s="117"/>
    </row>
    <row r="57" ht="15.75" customHeight="1">
      <c r="C57" s="117"/>
    </row>
    <row r="58" ht="15.75" customHeight="1">
      <c r="C58" s="117"/>
    </row>
    <row r="59" ht="15.75" customHeight="1">
      <c r="C59" s="117"/>
    </row>
    <row r="60" ht="15.75" customHeight="1">
      <c r="C60" s="117"/>
    </row>
    <row r="61" ht="15.75" customHeight="1">
      <c r="C61" s="117"/>
    </row>
    <row r="62" ht="15.75" customHeight="1">
      <c r="C62" s="117"/>
    </row>
    <row r="63" ht="15.75" customHeight="1">
      <c r="C63" s="117"/>
    </row>
    <row r="64" ht="15.75" customHeight="1">
      <c r="C64" s="117"/>
    </row>
    <row r="65" ht="15.75" customHeight="1">
      <c r="C65" s="117"/>
    </row>
    <row r="66" ht="15.75" customHeight="1">
      <c r="C66" s="117"/>
    </row>
    <row r="67" ht="15.75" customHeight="1">
      <c r="C67" s="117"/>
    </row>
    <row r="68" ht="15.75" customHeight="1">
      <c r="C68" s="117"/>
    </row>
    <row r="69" ht="15.75" customHeight="1">
      <c r="C69" s="117"/>
    </row>
    <row r="70" ht="15.75" customHeight="1">
      <c r="C70" s="117"/>
    </row>
    <row r="71" ht="15.75" customHeight="1">
      <c r="C71" s="117"/>
    </row>
    <row r="72" ht="15.75" customHeight="1">
      <c r="C72" s="117"/>
    </row>
    <row r="73" ht="15.75" customHeight="1">
      <c r="C73" s="117"/>
    </row>
    <row r="74" ht="15.75" customHeight="1">
      <c r="C74" s="117"/>
    </row>
    <row r="75" ht="15.75" customHeight="1">
      <c r="C75" s="117"/>
    </row>
    <row r="76" ht="15.75" customHeight="1">
      <c r="C76" s="117"/>
    </row>
    <row r="77" ht="15.75" customHeight="1">
      <c r="C77" s="117"/>
    </row>
    <row r="78" ht="15.75" customHeight="1">
      <c r="C78" s="117"/>
    </row>
    <row r="79" ht="15.75" customHeight="1">
      <c r="C79" s="117"/>
    </row>
    <row r="80" ht="15.75" customHeight="1">
      <c r="C80" s="117"/>
    </row>
    <row r="81" ht="15.75" customHeight="1">
      <c r="C81" s="117"/>
    </row>
    <row r="82" ht="15.75" customHeight="1">
      <c r="C82" s="117"/>
    </row>
    <row r="83" ht="15.75" customHeight="1">
      <c r="C83" s="117"/>
    </row>
    <row r="84" ht="15.75" customHeight="1">
      <c r="C84" s="117"/>
    </row>
    <row r="85" ht="15.75" customHeight="1">
      <c r="C85" s="117"/>
    </row>
    <row r="86" ht="15.75" customHeight="1">
      <c r="C86" s="117"/>
    </row>
    <row r="87" ht="15.75" customHeight="1">
      <c r="C87" s="117"/>
    </row>
    <row r="88" ht="15.75" customHeight="1">
      <c r="C88" s="117"/>
    </row>
    <row r="89" ht="15.75" customHeight="1">
      <c r="C89" s="117"/>
    </row>
    <row r="90" ht="15.75" customHeight="1">
      <c r="C90" s="117"/>
    </row>
    <row r="91" ht="15.75" customHeight="1">
      <c r="C91" s="117"/>
    </row>
    <row r="92" ht="15.75" customHeight="1">
      <c r="C92" s="117"/>
    </row>
    <row r="93" ht="15.75" customHeight="1">
      <c r="C93" s="117"/>
    </row>
    <row r="94" ht="15.75" customHeight="1">
      <c r="C94" s="117"/>
    </row>
    <row r="95" ht="15.75" customHeight="1">
      <c r="C95" s="117"/>
    </row>
    <row r="96" ht="15.75" customHeight="1">
      <c r="C96" s="117"/>
    </row>
    <row r="97" ht="15.75" customHeight="1">
      <c r="C97" s="117"/>
    </row>
    <row r="98" ht="15.75" customHeight="1">
      <c r="C98" s="117"/>
    </row>
    <row r="99" ht="15.75" customHeight="1">
      <c r="C99" s="117"/>
    </row>
    <row r="100" ht="15.75" customHeight="1">
      <c r="C100" s="117"/>
    </row>
    <row r="101" ht="15.75" customHeight="1">
      <c r="C101" s="117"/>
    </row>
    <row r="102" ht="15.75" customHeight="1">
      <c r="C102" s="117"/>
    </row>
    <row r="103" ht="15.75" customHeight="1">
      <c r="C103" s="117"/>
    </row>
    <row r="104" ht="15.75" customHeight="1">
      <c r="C104" s="117"/>
    </row>
    <row r="105" ht="15.75" customHeight="1">
      <c r="C105" s="117"/>
    </row>
    <row r="106" ht="15.75" customHeight="1">
      <c r="C106" s="117"/>
    </row>
    <row r="107" ht="15.75" customHeight="1">
      <c r="C107" s="117"/>
    </row>
    <row r="108" ht="15.75" customHeight="1">
      <c r="C108" s="117"/>
    </row>
    <row r="109" ht="15.75" customHeight="1">
      <c r="C109" s="117"/>
    </row>
    <row r="110" ht="15.75" customHeight="1">
      <c r="C110" s="117"/>
    </row>
    <row r="111" ht="15.75" customHeight="1">
      <c r="C111" s="117"/>
    </row>
    <row r="112" ht="15.75" customHeight="1">
      <c r="C112" s="117"/>
    </row>
    <row r="113" ht="15.75" customHeight="1">
      <c r="C113" s="117"/>
    </row>
    <row r="114" ht="15.75" customHeight="1">
      <c r="C114" s="117"/>
    </row>
    <row r="115" ht="15.75" customHeight="1">
      <c r="C115" s="117"/>
    </row>
    <row r="116" ht="15.75" customHeight="1">
      <c r="C116" s="117"/>
    </row>
    <row r="117" ht="15.75" customHeight="1">
      <c r="C117" s="117"/>
    </row>
    <row r="118" ht="15.75" customHeight="1">
      <c r="C118" s="117"/>
    </row>
    <row r="119" ht="15.75" customHeight="1">
      <c r="C119" s="117"/>
    </row>
    <row r="120" ht="15.75" customHeight="1">
      <c r="C120" s="117"/>
    </row>
    <row r="121" ht="15.75" customHeight="1">
      <c r="C121" s="117"/>
    </row>
    <row r="122" ht="15.75" customHeight="1">
      <c r="C122" s="117"/>
    </row>
    <row r="123" ht="15.75" customHeight="1">
      <c r="C123" s="117"/>
    </row>
    <row r="124" ht="15.75" customHeight="1">
      <c r="C124" s="117"/>
    </row>
    <row r="125" ht="15.75" customHeight="1">
      <c r="C125" s="117"/>
    </row>
    <row r="126" ht="15.75" customHeight="1">
      <c r="C126" s="117"/>
    </row>
    <row r="127" ht="15.75" customHeight="1">
      <c r="C127" s="117"/>
    </row>
    <row r="128" ht="15.75" customHeight="1">
      <c r="C128" s="117"/>
    </row>
    <row r="129" ht="15.75" customHeight="1">
      <c r="C129" s="117"/>
    </row>
    <row r="130" ht="15.75" customHeight="1">
      <c r="C130" s="117"/>
    </row>
    <row r="131" ht="15.75" customHeight="1">
      <c r="C131" s="117"/>
    </row>
    <row r="132" ht="15.75" customHeight="1">
      <c r="C132" s="117"/>
    </row>
    <row r="133" ht="15.75" customHeight="1">
      <c r="C133" s="117"/>
    </row>
    <row r="134" ht="15.75" customHeight="1">
      <c r="C134" s="117"/>
    </row>
    <row r="135" ht="15.75" customHeight="1">
      <c r="C135" s="117"/>
    </row>
    <row r="136" ht="15.75" customHeight="1">
      <c r="C136" s="117"/>
    </row>
    <row r="137" ht="15.75" customHeight="1">
      <c r="C137" s="117"/>
    </row>
    <row r="138" ht="15.75" customHeight="1">
      <c r="C138" s="117"/>
    </row>
    <row r="139" ht="15.75" customHeight="1">
      <c r="C139" s="117"/>
    </row>
    <row r="140" ht="15.75" customHeight="1">
      <c r="C140" s="117"/>
    </row>
    <row r="141" ht="15.75" customHeight="1">
      <c r="C141" s="117"/>
    </row>
    <row r="142" ht="15.75" customHeight="1">
      <c r="C142" s="117"/>
    </row>
    <row r="143" ht="15.75" customHeight="1">
      <c r="C143" s="117"/>
    </row>
    <row r="144" ht="15.75" customHeight="1">
      <c r="C144" s="117"/>
    </row>
    <row r="145" ht="15.75" customHeight="1">
      <c r="C145" s="117"/>
    </row>
    <row r="146" ht="15.75" customHeight="1">
      <c r="C146" s="117"/>
    </row>
    <row r="147" ht="15.75" customHeight="1">
      <c r="C147" s="117"/>
    </row>
    <row r="148" ht="15.75" customHeight="1">
      <c r="C148" s="117"/>
    </row>
    <row r="149" ht="15.75" customHeight="1">
      <c r="C149" s="117"/>
    </row>
    <row r="150" ht="15.75" customHeight="1">
      <c r="C150" s="117"/>
    </row>
    <row r="151" ht="15.75" customHeight="1">
      <c r="C151" s="117"/>
    </row>
    <row r="152" ht="15.75" customHeight="1">
      <c r="C152" s="117"/>
    </row>
    <row r="153" ht="15.75" customHeight="1">
      <c r="C153" s="117"/>
    </row>
    <row r="154" ht="15.75" customHeight="1">
      <c r="C154" s="117"/>
    </row>
    <row r="155" ht="15.75" customHeight="1">
      <c r="C155" s="117"/>
    </row>
    <row r="156" ht="15.75" customHeight="1">
      <c r="C156" s="117"/>
    </row>
    <row r="157" ht="15.75" customHeight="1">
      <c r="C157" s="117"/>
    </row>
    <row r="158" ht="15.75" customHeight="1">
      <c r="C158" s="117"/>
    </row>
    <row r="159" ht="15.75" customHeight="1">
      <c r="C159" s="117"/>
    </row>
    <row r="160" ht="15.75" customHeight="1">
      <c r="C160" s="117"/>
    </row>
    <row r="161" ht="15.75" customHeight="1">
      <c r="C161" s="117"/>
    </row>
    <row r="162" ht="15.75" customHeight="1">
      <c r="C162" s="117"/>
    </row>
    <row r="163" ht="15.75" customHeight="1">
      <c r="C163" s="117"/>
    </row>
    <row r="164" ht="15.75" customHeight="1">
      <c r="C164" s="117"/>
    </row>
    <row r="165" ht="15.75" customHeight="1">
      <c r="C165" s="117"/>
    </row>
    <row r="166" ht="15.75" customHeight="1">
      <c r="C166" s="117"/>
    </row>
    <row r="167" ht="15.75" customHeight="1">
      <c r="C167" s="117"/>
    </row>
    <row r="168" ht="15.75" customHeight="1">
      <c r="C168" s="117"/>
    </row>
    <row r="169" ht="15.75" customHeight="1">
      <c r="C169" s="117"/>
    </row>
    <row r="170" ht="15.75" customHeight="1">
      <c r="C170" s="117"/>
    </row>
    <row r="171" ht="15.75" customHeight="1">
      <c r="C171" s="117"/>
    </row>
    <row r="172" ht="15.75" customHeight="1">
      <c r="C172" s="117"/>
    </row>
    <row r="173" ht="15.75" customHeight="1">
      <c r="C173" s="117"/>
    </row>
    <row r="174" ht="15.75" customHeight="1">
      <c r="C174" s="117"/>
    </row>
    <row r="175" ht="15.75" customHeight="1">
      <c r="C175" s="117"/>
    </row>
    <row r="176" ht="15.75" customHeight="1">
      <c r="C176" s="117"/>
    </row>
    <row r="177" ht="15.75" customHeight="1">
      <c r="C177" s="117"/>
    </row>
    <row r="178" ht="15.75" customHeight="1">
      <c r="C178" s="117"/>
    </row>
    <row r="179" ht="15.75" customHeight="1">
      <c r="C179" s="117"/>
    </row>
    <row r="180" ht="15.75" customHeight="1">
      <c r="C180" s="117"/>
    </row>
    <row r="181" ht="15.75" customHeight="1">
      <c r="C181" s="117"/>
    </row>
    <row r="182" ht="15.75" customHeight="1">
      <c r="C182" s="117"/>
    </row>
    <row r="183" ht="15.75" customHeight="1">
      <c r="C183" s="117"/>
    </row>
    <row r="184" ht="15.75" customHeight="1">
      <c r="C184" s="117"/>
    </row>
    <row r="185" ht="15.75" customHeight="1">
      <c r="C185" s="117"/>
    </row>
    <row r="186" ht="15.75" customHeight="1">
      <c r="C186" s="117"/>
    </row>
    <row r="187" ht="15.75" customHeight="1">
      <c r="C187" s="117"/>
    </row>
    <row r="188" ht="15.75" customHeight="1">
      <c r="C188" s="117"/>
    </row>
    <row r="189" ht="15.75" customHeight="1">
      <c r="C189" s="117"/>
    </row>
    <row r="190" ht="15.75" customHeight="1">
      <c r="C190" s="117"/>
    </row>
    <row r="191" ht="15.75" customHeight="1">
      <c r="C191" s="117"/>
    </row>
    <row r="192" ht="15.75" customHeight="1">
      <c r="C192" s="117"/>
    </row>
    <row r="193" ht="15.75" customHeight="1">
      <c r="C193" s="117"/>
    </row>
    <row r="194" ht="15.75" customHeight="1">
      <c r="C194" s="117"/>
    </row>
    <row r="195" ht="15.75" customHeight="1">
      <c r="C195" s="117"/>
    </row>
    <row r="196" ht="15.75" customHeight="1">
      <c r="C196" s="117"/>
    </row>
    <row r="197" ht="15.75" customHeight="1">
      <c r="C197" s="117"/>
    </row>
    <row r="198" ht="15.75" customHeight="1">
      <c r="C198" s="117"/>
    </row>
    <row r="199" ht="15.75" customHeight="1">
      <c r="C199" s="117"/>
    </row>
    <row r="200" ht="15.75" customHeight="1">
      <c r="C200" s="117"/>
    </row>
    <row r="201" ht="15.75" customHeight="1">
      <c r="C201" s="117"/>
    </row>
    <row r="202" ht="15.75" customHeight="1">
      <c r="C202" s="117"/>
    </row>
    <row r="203" ht="15.75" customHeight="1">
      <c r="C203" s="117"/>
    </row>
    <row r="204" ht="15.75" customHeight="1">
      <c r="C204" s="117"/>
    </row>
    <row r="205" ht="15.75" customHeight="1">
      <c r="C205" s="117"/>
    </row>
    <row r="206" ht="15.75" customHeight="1">
      <c r="C206" s="117"/>
    </row>
    <row r="207" ht="15.75" customHeight="1">
      <c r="C207" s="117"/>
    </row>
    <row r="208" ht="15.75" customHeight="1">
      <c r="C208" s="117"/>
    </row>
    <row r="209" ht="15.75" customHeight="1">
      <c r="C209" s="117"/>
    </row>
    <row r="210" ht="15.75" customHeight="1">
      <c r="C210" s="117"/>
    </row>
    <row r="211" ht="15.75" customHeight="1">
      <c r="C211" s="117"/>
    </row>
    <row r="212" ht="15.75" customHeight="1">
      <c r="C212" s="117"/>
    </row>
    <row r="213" ht="15.75" customHeight="1">
      <c r="C213" s="117"/>
    </row>
    <row r="214" ht="15.75" customHeight="1">
      <c r="C214" s="117"/>
    </row>
    <row r="215" ht="15.75" customHeight="1">
      <c r="C215" s="117"/>
    </row>
    <row r="216" ht="15.75" customHeight="1">
      <c r="C216" s="117"/>
    </row>
    <row r="217" ht="15.75" customHeight="1">
      <c r="C217" s="117"/>
    </row>
    <row r="218" ht="15.75" customHeight="1">
      <c r="C218" s="117"/>
    </row>
    <row r="219" ht="15.75" customHeight="1">
      <c r="C219" s="117"/>
    </row>
    <row r="220" ht="15.75" customHeight="1">
      <c r="C220" s="117"/>
    </row>
    <row r="221" ht="15.75" customHeight="1">
      <c r="C221" s="117"/>
    </row>
    <row r="222" ht="15.75" customHeight="1">
      <c r="C222" s="117"/>
    </row>
    <row r="223" ht="15.75" customHeight="1">
      <c r="C223" s="117"/>
    </row>
    <row r="224" ht="15.75" customHeight="1">
      <c r="C224" s="117"/>
    </row>
    <row r="225" ht="15.75" customHeight="1">
      <c r="C225" s="117"/>
    </row>
    <row r="226" ht="15.75" customHeight="1">
      <c r="C226" s="117"/>
    </row>
    <row r="227" ht="15.75" customHeight="1">
      <c r="C227" s="117"/>
    </row>
    <row r="228" ht="15.75" customHeight="1">
      <c r="C228" s="117"/>
    </row>
    <row r="229" ht="15.75" customHeight="1">
      <c r="C229" s="117"/>
    </row>
    <row r="230" ht="15.75" customHeight="1">
      <c r="C230" s="117"/>
    </row>
    <row r="231" ht="15.75" customHeight="1">
      <c r="C231" s="117"/>
    </row>
    <row r="232" ht="15.75" customHeight="1">
      <c r="C232" s="117"/>
    </row>
    <row r="233" ht="15.75" customHeight="1">
      <c r="C233" s="117"/>
    </row>
    <row r="234" ht="15.75" customHeight="1">
      <c r="C234" s="117"/>
    </row>
    <row r="235" ht="15.75" customHeight="1">
      <c r="C235" s="117"/>
    </row>
    <row r="236" ht="15.75" customHeight="1">
      <c r="C236" s="117"/>
    </row>
    <row r="237" ht="15.75" customHeight="1">
      <c r="C237" s="117"/>
    </row>
    <row r="238" ht="15.75" customHeight="1">
      <c r="C238" s="117"/>
    </row>
    <row r="239" ht="15.75" customHeight="1">
      <c r="C239" s="117"/>
    </row>
    <row r="240" ht="15.75" customHeight="1">
      <c r="C240" s="117"/>
    </row>
    <row r="241" ht="15.75" customHeight="1">
      <c r="C241" s="117"/>
    </row>
    <row r="242" ht="15.75" customHeight="1">
      <c r="C242" s="117"/>
    </row>
    <row r="243" ht="15.75" customHeight="1">
      <c r="C243" s="117"/>
    </row>
    <row r="244" ht="15.75" customHeight="1">
      <c r="C244" s="117"/>
    </row>
    <row r="245" ht="15.75" customHeight="1">
      <c r="C245" s="117"/>
    </row>
    <row r="246" ht="15.75" customHeight="1">
      <c r="C246" s="117"/>
    </row>
    <row r="247" ht="15.75" customHeight="1">
      <c r="C247" s="117"/>
    </row>
    <row r="248" ht="15.75" customHeight="1">
      <c r="C248" s="117"/>
    </row>
    <row r="249" ht="15.75" customHeight="1">
      <c r="C249" s="117"/>
    </row>
    <row r="250" ht="15.75" customHeight="1">
      <c r="C250" s="117"/>
    </row>
    <row r="251" ht="15.75" customHeight="1">
      <c r="C251" s="117"/>
    </row>
    <row r="252" ht="15.75" customHeight="1">
      <c r="C252" s="117"/>
    </row>
    <row r="253" ht="15.75" customHeight="1">
      <c r="C253" s="117"/>
    </row>
    <row r="254" ht="15.75" customHeight="1">
      <c r="C254" s="117"/>
    </row>
    <row r="255" ht="15.75" customHeight="1">
      <c r="C255" s="117"/>
    </row>
    <row r="256" ht="15.75" customHeight="1">
      <c r="C256" s="117"/>
    </row>
    <row r="257" ht="15.75" customHeight="1">
      <c r="C257" s="117"/>
    </row>
    <row r="258" ht="15.75" customHeight="1">
      <c r="C258" s="117"/>
    </row>
    <row r="259" ht="15.75" customHeight="1">
      <c r="C259" s="117"/>
    </row>
    <row r="260" ht="15.75" customHeight="1">
      <c r="C260" s="117"/>
    </row>
    <row r="261" ht="15.75" customHeight="1">
      <c r="C261" s="117"/>
    </row>
    <row r="262" ht="15.75" customHeight="1">
      <c r="C262" s="117"/>
    </row>
    <row r="263" ht="15.75" customHeight="1">
      <c r="C263" s="117"/>
    </row>
    <row r="264" ht="15.75" customHeight="1">
      <c r="C264" s="117"/>
    </row>
    <row r="265" ht="15.75" customHeight="1">
      <c r="C265" s="117"/>
    </row>
    <row r="266" ht="15.75" customHeight="1">
      <c r="C266" s="117"/>
    </row>
    <row r="267" ht="15.75" customHeight="1">
      <c r="C267" s="117"/>
    </row>
    <row r="268" ht="15.75" customHeight="1">
      <c r="C268" s="117"/>
    </row>
    <row r="269" ht="15.75" customHeight="1">
      <c r="C269" s="117"/>
    </row>
    <row r="270" ht="15.75" customHeight="1">
      <c r="C270" s="117"/>
    </row>
    <row r="271" ht="15.75" customHeight="1">
      <c r="C271" s="117"/>
    </row>
    <row r="272" ht="15.75" customHeight="1">
      <c r="C272" s="117"/>
    </row>
    <row r="273" ht="15.75" customHeight="1">
      <c r="C273" s="117"/>
    </row>
    <row r="274" ht="15.75" customHeight="1">
      <c r="C274" s="117"/>
    </row>
    <row r="275" ht="15.75" customHeight="1">
      <c r="C275" s="117"/>
    </row>
    <row r="276" ht="15.75" customHeight="1">
      <c r="C276" s="117"/>
    </row>
    <row r="277" ht="15.75" customHeight="1">
      <c r="C277" s="117"/>
    </row>
    <row r="278" ht="15.75" customHeight="1">
      <c r="C278" s="117"/>
    </row>
    <row r="279" ht="15.75" customHeight="1">
      <c r="C279" s="117"/>
    </row>
    <row r="280" ht="15.75" customHeight="1">
      <c r="C280" s="117"/>
    </row>
    <row r="281" ht="15.75" customHeight="1">
      <c r="C281" s="117"/>
    </row>
    <row r="282" ht="15.75" customHeight="1">
      <c r="C282" s="117"/>
    </row>
    <row r="283" ht="15.75" customHeight="1">
      <c r="C283" s="117"/>
    </row>
    <row r="284" ht="15.75" customHeight="1">
      <c r="C284" s="117"/>
    </row>
    <row r="285" ht="15.75" customHeight="1">
      <c r="C285" s="117"/>
    </row>
    <row r="286" ht="15.75" customHeight="1">
      <c r="C286" s="117"/>
    </row>
    <row r="287" ht="15.75" customHeight="1">
      <c r="C287" s="117"/>
    </row>
    <row r="288" ht="15.75" customHeight="1">
      <c r="C288" s="117"/>
    </row>
    <row r="289" ht="15.75" customHeight="1">
      <c r="C289" s="117"/>
    </row>
    <row r="290" ht="15.75" customHeight="1">
      <c r="C290" s="117"/>
    </row>
    <row r="291" ht="15.75" customHeight="1">
      <c r="C291" s="117"/>
    </row>
    <row r="292" ht="15.75" customHeight="1">
      <c r="C292" s="117"/>
    </row>
    <row r="293" ht="15.75" customHeight="1">
      <c r="C293" s="117"/>
    </row>
    <row r="294" ht="15.75" customHeight="1">
      <c r="C294" s="117"/>
    </row>
    <row r="295" ht="15.75" customHeight="1">
      <c r="C295" s="117"/>
    </row>
    <row r="296" ht="15.75" customHeight="1">
      <c r="C296" s="117"/>
    </row>
    <row r="297" ht="15.75" customHeight="1">
      <c r="C297" s="117"/>
    </row>
    <row r="298" ht="15.75" customHeight="1">
      <c r="C298" s="117"/>
    </row>
    <row r="299" ht="15.75" customHeight="1">
      <c r="C299" s="117"/>
    </row>
    <row r="300" ht="15.75" customHeight="1">
      <c r="C300" s="117"/>
    </row>
    <row r="301" ht="15.75" customHeight="1">
      <c r="C301" s="117"/>
    </row>
    <row r="302" ht="15.75" customHeight="1">
      <c r="C302" s="117"/>
    </row>
    <row r="303" ht="15.75" customHeight="1">
      <c r="C303" s="117"/>
    </row>
    <row r="304" ht="15.75" customHeight="1">
      <c r="C304" s="117"/>
    </row>
    <row r="305" ht="15.75" customHeight="1">
      <c r="C305" s="117"/>
    </row>
    <row r="306" ht="15.75" customHeight="1">
      <c r="C306" s="117"/>
    </row>
    <row r="307" ht="15.75" customHeight="1">
      <c r="C307" s="117"/>
    </row>
    <row r="308" ht="15.75" customHeight="1">
      <c r="C308" s="117"/>
    </row>
    <row r="309" ht="15.75" customHeight="1">
      <c r="C309" s="117"/>
    </row>
    <row r="310" ht="15.75" customHeight="1">
      <c r="C310" s="117"/>
    </row>
    <row r="311" ht="15.75" customHeight="1">
      <c r="C311" s="117"/>
    </row>
    <row r="312" ht="15.75" customHeight="1">
      <c r="C312" s="117"/>
    </row>
    <row r="313" ht="15.75" customHeight="1">
      <c r="C313" s="117"/>
    </row>
    <row r="314" ht="15.75" customHeight="1">
      <c r="C314" s="117"/>
    </row>
    <row r="315" ht="15.75" customHeight="1">
      <c r="C315" s="117"/>
    </row>
    <row r="316" ht="15.75" customHeight="1">
      <c r="C316" s="117"/>
    </row>
    <row r="317" ht="15.75" customHeight="1">
      <c r="C317" s="117"/>
    </row>
    <row r="318" ht="15.75" customHeight="1">
      <c r="C318" s="117"/>
    </row>
    <row r="319" ht="15.75" customHeight="1">
      <c r="C319" s="117"/>
    </row>
    <row r="320" ht="15.75" customHeight="1">
      <c r="C320" s="117"/>
    </row>
    <row r="321" ht="15.75" customHeight="1">
      <c r="C321" s="117"/>
    </row>
    <row r="322" ht="15.75" customHeight="1">
      <c r="C322" s="117"/>
    </row>
    <row r="323" ht="15.75" customHeight="1">
      <c r="C323" s="117"/>
    </row>
    <row r="324" ht="15.75" customHeight="1">
      <c r="C324" s="117"/>
    </row>
    <row r="325" ht="15.75" customHeight="1">
      <c r="C325" s="117"/>
    </row>
    <row r="326" ht="15.75" customHeight="1">
      <c r="C326" s="117"/>
    </row>
    <row r="327" ht="15.75" customHeight="1">
      <c r="C327" s="117"/>
    </row>
    <row r="328" ht="15.75" customHeight="1">
      <c r="C328" s="117"/>
    </row>
    <row r="329" ht="15.75" customHeight="1">
      <c r="C329" s="117"/>
    </row>
    <row r="330" ht="15.75" customHeight="1">
      <c r="C330" s="117"/>
    </row>
    <row r="331" ht="15.75" customHeight="1">
      <c r="C331" s="117"/>
    </row>
    <row r="332" ht="15.75" customHeight="1">
      <c r="C332" s="117"/>
    </row>
    <row r="333" ht="15.75" customHeight="1">
      <c r="C333" s="117"/>
    </row>
    <row r="334" ht="15.75" customHeight="1">
      <c r="C334" s="117"/>
    </row>
    <row r="335" ht="15.75" customHeight="1">
      <c r="C335" s="117"/>
    </row>
    <row r="336" ht="15.75" customHeight="1">
      <c r="C336" s="117"/>
    </row>
    <row r="337" ht="15.75" customHeight="1">
      <c r="C337" s="117"/>
    </row>
    <row r="338" ht="15.75" customHeight="1">
      <c r="C338" s="117"/>
    </row>
    <row r="339" ht="15.75" customHeight="1">
      <c r="C339" s="117"/>
    </row>
    <row r="340" ht="15.75" customHeight="1">
      <c r="C340" s="117"/>
    </row>
    <row r="341" ht="15.75" customHeight="1">
      <c r="C341" s="117"/>
    </row>
    <row r="342" ht="15.75" customHeight="1">
      <c r="C342" s="117"/>
    </row>
    <row r="343" ht="15.75" customHeight="1">
      <c r="C343" s="117"/>
    </row>
    <row r="344" ht="15.75" customHeight="1">
      <c r="C344" s="117"/>
    </row>
    <row r="345" ht="15.75" customHeight="1">
      <c r="C345" s="117"/>
    </row>
    <row r="346" ht="15.75" customHeight="1">
      <c r="C346" s="117"/>
    </row>
    <row r="347" ht="15.75" customHeight="1">
      <c r="C347" s="117"/>
    </row>
    <row r="348" ht="15.75" customHeight="1">
      <c r="C348" s="117"/>
    </row>
    <row r="349" ht="15.75" customHeight="1">
      <c r="C349" s="117"/>
    </row>
    <row r="350" ht="15.75" customHeight="1">
      <c r="C350" s="117"/>
    </row>
    <row r="351" ht="15.75" customHeight="1">
      <c r="C351" s="117"/>
    </row>
    <row r="352" ht="15.75" customHeight="1">
      <c r="C352" s="117"/>
    </row>
    <row r="353" ht="15.75" customHeight="1">
      <c r="C353" s="117"/>
    </row>
    <row r="354" ht="15.75" customHeight="1">
      <c r="C354" s="117"/>
    </row>
    <row r="355" ht="15.75" customHeight="1">
      <c r="C355" s="117"/>
    </row>
    <row r="356" ht="15.75" customHeight="1">
      <c r="C356" s="117"/>
    </row>
    <row r="357" ht="15.75" customHeight="1">
      <c r="C357" s="117"/>
    </row>
    <row r="358" ht="15.75" customHeight="1">
      <c r="C358" s="117"/>
    </row>
    <row r="359" ht="15.75" customHeight="1">
      <c r="C359" s="117"/>
    </row>
    <row r="360" ht="15.75" customHeight="1">
      <c r="C360" s="117"/>
    </row>
    <row r="361" ht="15.75" customHeight="1">
      <c r="C361" s="117"/>
    </row>
    <row r="362" ht="15.75" customHeight="1">
      <c r="C362" s="117"/>
    </row>
    <row r="363" ht="15.75" customHeight="1">
      <c r="C363" s="117"/>
    </row>
    <row r="364" ht="15.75" customHeight="1">
      <c r="C364" s="117"/>
    </row>
    <row r="365" ht="15.75" customHeight="1">
      <c r="C365" s="117"/>
    </row>
    <row r="366" ht="15.75" customHeight="1">
      <c r="C366" s="117"/>
    </row>
    <row r="367" ht="15.75" customHeight="1">
      <c r="C367" s="117"/>
    </row>
    <row r="368" ht="15.75" customHeight="1">
      <c r="C368" s="117"/>
    </row>
    <row r="369" ht="15.75" customHeight="1">
      <c r="C369" s="117"/>
    </row>
    <row r="370" ht="15.75" customHeight="1">
      <c r="C370" s="117"/>
    </row>
    <row r="371" ht="15.75" customHeight="1">
      <c r="C371" s="117"/>
    </row>
    <row r="372" ht="15.75" customHeight="1">
      <c r="C372" s="117"/>
    </row>
    <row r="373" ht="15.75" customHeight="1">
      <c r="C373" s="117"/>
    </row>
    <row r="374" ht="15.75" customHeight="1">
      <c r="C374" s="117"/>
    </row>
    <row r="375" ht="15.75" customHeight="1">
      <c r="C375" s="117"/>
    </row>
    <row r="376" ht="15.75" customHeight="1">
      <c r="C376" s="117"/>
    </row>
    <row r="377" ht="15.75" customHeight="1">
      <c r="C377" s="117"/>
    </row>
    <row r="378" ht="15.75" customHeight="1">
      <c r="C378" s="117"/>
    </row>
    <row r="379" ht="15.75" customHeight="1">
      <c r="C379" s="117"/>
    </row>
    <row r="380" ht="15.75" customHeight="1">
      <c r="C380" s="117"/>
    </row>
    <row r="381" ht="15.75" customHeight="1">
      <c r="C381" s="117"/>
    </row>
    <row r="382" ht="15.75" customHeight="1">
      <c r="C382" s="117"/>
    </row>
    <row r="383" ht="15.75" customHeight="1">
      <c r="C383" s="117"/>
    </row>
    <row r="384" ht="15.75" customHeight="1">
      <c r="C384" s="117"/>
    </row>
    <row r="385" ht="15.75" customHeight="1">
      <c r="C385" s="117"/>
    </row>
    <row r="386" ht="15.75" customHeight="1">
      <c r="C386" s="117"/>
    </row>
    <row r="387" ht="15.75" customHeight="1">
      <c r="C387" s="117"/>
    </row>
    <row r="388" ht="15.75" customHeight="1">
      <c r="C388" s="117"/>
    </row>
    <row r="389" ht="15.75" customHeight="1">
      <c r="C389" s="117"/>
    </row>
    <row r="390" ht="15.75" customHeight="1">
      <c r="C390" s="117"/>
    </row>
    <row r="391" ht="15.75" customHeight="1">
      <c r="C391" s="117"/>
    </row>
    <row r="392" ht="15.75" customHeight="1">
      <c r="C392" s="117"/>
    </row>
    <row r="393" ht="15.75" customHeight="1">
      <c r="C393" s="117"/>
    </row>
    <row r="394" ht="15.75" customHeight="1">
      <c r="C394" s="117"/>
    </row>
    <row r="395" ht="15.75" customHeight="1">
      <c r="C395" s="117"/>
    </row>
    <row r="396" ht="15.75" customHeight="1">
      <c r="C396" s="117"/>
    </row>
    <row r="397" ht="15.75" customHeight="1">
      <c r="C397" s="117"/>
    </row>
    <row r="398" ht="15.75" customHeight="1">
      <c r="C398" s="117"/>
    </row>
    <row r="399" ht="15.75" customHeight="1">
      <c r="C399" s="117"/>
    </row>
    <row r="400" ht="15.75" customHeight="1">
      <c r="C400" s="117"/>
    </row>
    <row r="401" ht="15.75" customHeight="1">
      <c r="C401" s="117"/>
    </row>
    <row r="402" ht="15.75" customHeight="1">
      <c r="C402" s="117"/>
    </row>
    <row r="403" ht="15.75" customHeight="1">
      <c r="C403" s="117"/>
    </row>
    <row r="404" ht="15.75" customHeight="1">
      <c r="C404" s="117"/>
    </row>
    <row r="405" ht="15.75" customHeight="1">
      <c r="C405" s="117"/>
    </row>
    <row r="406" ht="15.75" customHeight="1">
      <c r="C406" s="117"/>
    </row>
    <row r="407" ht="15.75" customHeight="1">
      <c r="C407" s="117"/>
    </row>
    <row r="408" ht="15.75" customHeight="1">
      <c r="C408" s="117"/>
    </row>
    <row r="409" ht="15.75" customHeight="1">
      <c r="C409" s="117"/>
    </row>
    <row r="410" ht="15.75" customHeight="1">
      <c r="C410" s="117"/>
    </row>
    <row r="411" ht="15.75" customHeight="1">
      <c r="C411" s="117"/>
    </row>
    <row r="412" ht="15.75" customHeight="1">
      <c r="C412" s="117"/>
    </row>
    <row r="413" ht="15.75" customHeight="1">
      <c r="C413" s="117"/>
    </row>
    <row r="414" ht="15.75" customHeight="1">
      <c r="C414" s="117"/>
    </row>
    <row r="415" ht="15.75" customHeight="1">
      <c r="C415" s="117"/>
    </row>
    <row r="416" ht="15.75" customHeight="1">
      <c r="C416" s="117"/>
    </row>
    <row r="417" ht="15.75" customHeight="1">
      <c r="C417" s="117"/>
    </row>
    <row r="418" ht="15.75" customHeight="1">
      <c r="C418" s="117"/>
    </row>
    <row r="419" ht="15.75" customHeight="1">
      <c r="C419" s="117"/>
    </row>
    <row r="420" ht="15.75" customHeight="1">
      <c r="C420" s="117"/>
    </row>
    <row r="421" ht="15.75" customHeight="1">
      <c r="C421" s="117"/>
    </row>
    <row r="422" ht="15.75" customHeight="1">
      <c r="C422" s="117"/>
    </row>
    <row r="423" ht="15.75" customHeight="1">
      <c r="C423" s="117"/>
    </row>
    <row r="424" ht="15.75" customHeight="1">
      <c r="C424" s="117"/>
    </row>
    <row r="425" ht="15.75" customHeight="1">
      <c r="C425" s="117"/>
    </row>
    <row r="426" ht="15.75" customHeight="1">
      <c r="C426" s="117"/>
    </row>
    <row r="427" ht="15.75" customHeight="1">
      <c r="C427" s="117"/>
    </row>
    <row r="428" ht="15.75" customHeight="1">
      <c r="C428" s="117"/>
    </row>
    <row r="429" ht="15.75" customHeight="1">
      <c r="C429" s="117"/>
    </row>
    <row r="430" ht="15.75" customHeight="1">
      <c r="C430" s="117"/>
    </row>
    <row r="431" ht="15.75" customHeight="1">
      <c r="C431" s="117"/>
    </row>
    <row r="432" ht="15.75" customHeight="1">
      <c r="C432" s="117"/>
    </row>
    <row r="433" ht="15.75" customHeight="1">
      <c r="C433" s="117"/>
    </row>
    <row r="434" ht="15.75" customHeight="1">
      <c r="C434" s="117"/>
    </row>
    <row r="435" ht="15.75" customHeight="1">
      <c r="C435" s="117"/>
    </row>
    <row r="436" ht="15.75" customHeight="1">
      <c r="C436" s="117"/>
    </row>
    <row r="437" ht="15.75" customHeight="1">
      <c r="C437" s="117"/>
    </row>
    <row r="438" ht="15.75" customHeight="1">
      <c r="C438" s="117"/>
    </row>
    <row r="439" ht="15.75" customHeight="1">
      <c r="C439" s="117"/>
    </row>
    <row r="440" ht="15.75" customHeight="1">
      <c r="C440" s="117"/>
    </row>
    <row r="441" ht="15.75" customHeight="1">
      <c r="C441" s="117"/>
    </row>
    <row r="442" ht="15.75" customHeight="1">
      <c r="C442" s="117"/>
    </row>
    <row r="443" ht="15.75" customHeight="1">
      <c r="C443" s="117"/>
    </row>
    <row r="444" ht="15.75" customHeight="1">
      <c r="C444" s="117"/>
    </row>
    <row r="445" ht="15.75" customHeight="1">
      <c r="C445" s="117"/>
    </row>
    <row r="446" ht="15.75" customHeight="1">
      <c r="C446" s="117"/>
    </row>
    <row r="447" ht="15.75" customHeight="1">
      <c r="C447" s="117"/>
    </row>
    <row r="448" ht="15.75" customHeight="1">
      <c r="C448" s="117"/>
    </row>
    <row r="449" ht="15.75" customHeight="1">
      <c r="C449" s="117"/>
    </row>
    <row r="450" ht="15.75" customHeight="1">
      <c r="C450" s="117"/>
    </row>
    <row r="451" ht="15.75" customHeight="1">
      <c r="C451" s="117"/>
    </row>
    <row r="452" ht="15.75" customHeight="1">
      <c r="C452" s="117"/>
    </row>
    <row r="453" ht="15.75" customHeight="1">
      <c r="C453" s="117"/>
    </row>
    <row r="454" ht="15.75" customHeight="1">
      <c r="C454" s="117"/>
    </row>
    <row r="455" ht="15.75" customHeight="1">
      <c r="C455" s="117"/>
    </row>
    <row r="456" ht="15.75" customHeight="1">
      <c r="C456" s="117"/>
    </row>
    <row r="457" ht="15.75" customHeight="1">
      <c r="C457" s="117"/>
    </row>
    <row r="458" ht="15.75" customHeight="1">
      <c r="C458" s="117"/>
    </row>
    <row r="459" ht="15.75" customHeight="1">
      <c r="C459" s="117"/>
    </row>
    <row r="460" ht="15.75" customHeight="1">
      <c r="C460" s="117"/>
    </row>
    <row r="461" ht="15.75" customHeight="1">
      <c r="C461" s="117"/>
    </row>
    <row r="462" ht="15.75" customHeight="1">
      <c r="C462" s="117"/>
    </row>
    <row r="463" ht="15.75" customHeight="1">
      <c r="C463" s="117"/>
    </row>
    <row r="464" ht="15.75" customHeight="1">
      <c r="C464" s="117"/>
    </row>
    <row r="465" ht="15.75" customHeight="1">
      <c r="C465" s="117"/>
    </row>
    <row r="466" ht="15.75" customHeight="1">
      <c r="C466" s="117"/>
    </row>
    <row r="467" ht="15.75" customHeight="1">
      <c r="C467" s="117"/>
    </row>
    <row r="468" ht="15.75" customHeight="1">
      <c r="C468" s="117"/>
    </row>
    <row r="469" ht="15.75" customHeight="1">
      <c r="C469" s="117"/>
    </row>
    <row r="470" ht="15.75" customHeight="1">
      <c r="C470" s="117"/>
    </row>
    <row r="471" ht="15.75" customHeight="1">
      <c r="C471" s="117"/>
    </row>
    <row r="472" ht="15.75" customHeight="1">
      <c r="C472" s="117"/>
    </row>
    <row r="473" ht="15.75" customHeight="1">
      <c r="C473" s="117"/>
    </row>
    <row r="474" ht="15.75" customHeight="1">
      <c r="C474" s="117"/>
    </row>
    <row r="475" ht="15.75" customHeight="1">
      <c r="C475" s="117"/>
    </row>
    <row r="476" ht="15.75" customHeight="1">
      <c r="C476" s="117"/>
    </row>
    <row r="477" ht="15.75" customHeight="1">
      <c r="C477" s="117"/>
    </row>
    <row r="478" ht="15.75" customHeight="1">
      <c r="C478" s="117"/>
    </row>
    <row r="479" ht="15.75" customHeight="1">
      <c r="C479" s="117"/>
    </row>
    <row r="480" ht="15.75" customHeight="1">
      <c r="C480" s="117"/>
    </row>
    <row r="481" ht="15.75" customHeight="1">
      <c r="C481" s="117"/>
    </row>
    <row r="482" ht="15.75" customHeight="1">
      <c r="C482" s="117"/>
    </row>
    <row r="483" ht="15.75" customHeight="1">
      <c r="C483" s="117"/>
    </row>
    <row r="484" ht="15.75" customHeight="1">
      <c r="C484" s="117"/>
    </row>
    <row r="485" ht="15.75" customHeight="1">
      <c r="C485" s="117"/>
    </row>
    <row r="486" ht="15.75" customHeight="1">
      <c r="C486" s="117"/>
    </row>
    <row r="487" ht="15.75" customHeight="1">
      <c r="C487" s="117"/>
    </row>
    <row r="488" ht="15.75" customHeight="1">
      <c r="C488" s="117"/>
    </row>
    <row r="489" ht="15.75" customHeight="1">
      <c r="C489" s="117"/>
    </row>
    <row r="490" ht="15.75" customHeight="1">
      <c r="C490" s="117"/>
    </row>
    <row r="491" ht="15.75" customHeight="1">
      <c r="C491" s="117"/>
    </row>
    <row r="492" ht="15.75" customHeight="1">
      <c r="C492" s="117"/>
    </row>
    <row r="493" ht="15.75" customHeight="1">
      <c r="C493" s="117"/>
    </row>
    <row r="494" ht="15.75" customHeight="1">
      <c r="C494" s="117"/>
    </row>
    <row r="495" ht="15.75" customHeight="1">
      <c r="C495" s="117"/>
    </row>
    <row r="496" ht="15.75" customHeight="1">
      <c r="C496" s="117"/>
    </row>
    <row r="497" ht="15.75" customHeight="1">
      <c r="C497" s="117"/>
    </row>
    <row r="498" ht="15.75" customHeight="1">
      <c r="C498" s="117"/>
    </row>
    <row r="499" ht="15.75" customHeight="1">
      <c r="C499" s="117"/>
    </row>
    <row r="500" ht="15.75" customHeight="1">
      <c r="C500" s="117"/>
    </row>
    <row r="501" ht="15.75" customHeight="1">
      <c r="C501" s="117"/>
    </row>
    <row r="502" ht="15.75" customHeight="1">
      <c r="C502" s="117"/>
    </row>
    <row r="503" ht="15.75" customHeight="1">
      <c r="C503" s="117"/>
    </row>
    <row r="504" ht="15.75" customHeight="1">
      <c r="C504" s="117"/>
    </row>
    <row r="505" ht="15.75" customHeight="1">
      <c r="C505" s="117"/>
    </row>
    <row r="506" ht="15.75" customHeight="1">
      <c r="C506" s="117"/>
    </row>
    <row r="507" ht="15.75" customHeight="1">
      <c r="C507" s="117"/>
    </row>
    <row r="508" ht="15.75" customHeight="1">
      <c r="C508" s="117"/>
    </row>
    <row r="509" ht="15.75" customHeight="1">
      <c r="C509" s="117"/>
    </row>
    <row r="510" ht="15.75" customHeight="1">
      <c r="C510" s="117"/>
    </row>
    <row r="511" ht="15.75" customHeight="1">
      <c r="C511" s="117"/>
    </row>
    <row r="512" ht="15.75" customHeight="1">
      <c r="C512" s="117"/>
    </row>
    <row r="513" ht="15.75" customHeight="1">
      <c r="C513" s="117"/>
    </row>
    <row r="514" ht="15.75" customHeight="1">
      <c r="C514" s="117"/>
    </row>
    <row r="515" ht="15.75" customHeight="1">
      <c r="C515" s="117"/>
    </row>
    <row r="516" ht="15.75" customHeight="1">
      <c r="C516" s="117"/>
    </row>
    <row r="517" ht="15.75" customHeight="1">
      <c r="C517" s="117"/>
    </row>
    <row r="518" ht="15.75" customHeight="1">
      <c r="C518" s="117"/>
    </row>
    <row r="519" ht="15.75" customHeight="1">
      <c r="C519" s="117"/>
    </row>
    <row r="520" ht="15.75" customHeight="1">
      <c r="C520" s="117"/>
    </row>
    <row r="521" ht="15.75" customHeight="1">
      <c r="C521" s="117"/>
    </row>
    <row r="522" ht="15.75" customHeight="1">
      <c r="C522" s="117"/>
    </row>
    <row r="523" ht="15.75" customHeight="1">
      <c r="C523" s="117"/>
    </row>
    <row r="524" ht="15.75" customHeight="1">
      <c r="C524" s="117"/>
    </row>
    <row r="525" ht="15.75" customHeight="1">
      <c r="C525" s="117"/>
    </row>
    <row r="526" ht="15.75" customHeight="1">
      <c r="C526" s="117"/>
    </row>
    <row r="527" ht="15.75" customHeight="1">
      <c r="C527" s="117"/>
    </row>
    <row r="528" ht="15.75" customHeight="1">
      <c r="C528" s="117"/>
    </row>
    <row r="529" ht="15.75" customHeight="1">
      <c r="C529" s="117"/>
    </row>
    <row r="530" ht="15.75" customHeight="1">
      <c r="C530" s="117"/>
    </row>
    <row r="531" ht="15.75" customHeight="1">
      <c r="C531" s="117"/>
    </row>
    <row r="532" ht="15.75" customHeight="1">
      <c r="C532" s="117"/>
    </row>
    <row r="533" ht="15.75" customHeight="1">
      <c r="C533" s="117"/>
    </row>
    <row r="534" ht="15.75" customHeight="1">
      <c r="C534" s="117"/>
    </row>
    <row r="535" ht="15.75" customHeight="1">
      <c r="C535" s="117"/>
    </row>
    <row r="536" ht="15.75" customHeight="1">
      <c r="C536" s="117"/>
    </row>
    <row r="537" ht="15.75" customHeight="1">
      <c r="C537" s="117"/>
    </row>
    <row r="538" ht="15.75" customHeight="1">
      <c r="C538" s="117"/>
    </row>
    <row r="539" ht="15.75" customHeight="1">
      <c r="C539" s="117"/>
    </row>
    <row r="540" ht="15.75" customHeight="1">
      <c r="C540" s="117"/>
    </row>
    <row r="541" ht="15.75" customHeight="1">
      <c r="C541" s="117"/>
    </row>
    <row r="542" ht="15.75" customHeight="1">
      <c r="C542" s="117"/>
    </row>
    <row r="543" ht="15.75" customHeight="1">
      <c r="C543" s="117"/>
    </row>
    <row r="544" ht="15.75" customHeight="1">
      <c r="C544" s="117"/>
    </row>
    <row r="545" ht="15.75" customHeight="1">
      <c r="C545" s="117"/>
    </row>
    <row r="546" ht="15.75" customHeight="1">
      <c r="C546" s="117"/>
    </row>
    <row r="547" ht="15.75" customHeight="1">
      <c r="C547" s="117"/>
    </row>
    <row r="548" ht="15.75" customHeight="1">
      <c r="C548" s="117"/>
    </row>
    <row r="549" ht="15.75" customHeight="1">
      <c r="C549" s="117"/>
    </row>
    <row r="550" ht="15.75" customHeight="1">
      <c r="C550" s="117"/>
    </row>
    <row r="551" ht="15.75" customHeight="1">
      <c r="C551" s="117"/>
    </row>
    <row r="552" ht="15.75" customHeight="1">
      <c r="C552" s="117"/>
    </row>
    <row r="553" ht="15.75" customHeight="1">
      <c r="C553" s="117"/>
    </row>
    <row r="554" ht="15.75" customHeight="1">
      <c r="C554" s="117"/>
    </row>
    <row r="555" ht="15.75" customHeight="1">
      <c r="C555" s="117"/>
    </row>
    <row r="556" ht="15.75" customHeight="1">
      <c r="C556" s="117"/>
    </row>
    <row r="557" ht="15.75" customHeight="1">
      <c r="C557" s="117"/>
    </row>
    <row r="558" ht="15.75" customHeight="1">
      <c r="C558" s="117"/>
    </row>
    <row r="559" ht="15.75" customHeight="1">
      <c r="C559" s="117"/>
    </row>
    <row r="560" ht="15.75" customHeight="1">
      <c r="C560" s="117"/>
    </row>
    <row r="561" ht="15.75" customHeight="1">
      <c r="C561" s="117"/>
    </row>
    <row r="562" ht="15.75" customHeight="1">
      <c r="C562" s="117"/>
    </row>
    <row r="563" ht="15.75" customHeight="1">
      <c r="C563" s="117"/>
    </row>
    <row r="564" ht="15.75" customHeight="1">
      <c r="C564" s="117"/>
    </row>
    <row r="565" ht="15.75" customHeight="1">
      <c r="C565" s="117"/>
    </row>
    <row r="566" ht="15.75" customHeight="1">
      <c r="C566" s="117"/>
    </row>
    <row r="567" ht="15.75" customHeight="1">
      <c r="C567" s="117"/>
    </row>
    <row r="568" ht="15.75" customHeight="1">
      <c r="C568" s="117"/>
    </row>
    <row r="569" ht="15.75" customHeight="1">
      <c r="C569" s="117"/>
    </row>
    <row r="570" ht="15.75" customHeight="1">
      <c r="C570" s="117"/>
    </row>
    <row r="571" ht="15.75" customHeight="1">
      <c r="C571" s="117"/>
    </row>
    <row r="572" ht="15.75" customHeight="1">
      <c r="C572" s="117"/>
    </row>
    <row r="573" ht="15.75" customHeight="1">
      <c r="C573" s="117"/>
    </row>
    <row r="574" ht="15.75" customHeight="1">
      <c r="C574" s="117"/>
    </row>
    <row r="575" ht="15.75" customHeight="1">
      <c r="C575" s="117"/>
    </row>
    <row r="576" ht="15.75" customHeight="1">
      <c r="C576" s="117"/>
    </row>
    <row r="577" ht="15.75" customHeight="1">
      <c r="C577" s="117"/>
    </row>
    <row r="578" ht="15.75" customHeight="1">
      <c r="C578" s="117"/>
    </row>
    <row r="579" ht="15.75" customHeight="1">
      <c r="C579" s="117"/>
    </row>
    <row r="580" ht="15.75" customHeight="1">
      <c r="C580" s="117"/>
    </row>
    <row r="581" ht="15.75" customHeight="1">
      <c r="C581" s="117"/>
    </row>
    <row r="582" ht="15.75" customHeight="1">
      <c r="C582" s="117"/>
    </row>
    <row r="583" ht="15.75" customHeight="1">
      <c r="C583" s="117"/>
    </row>
    <row r="584" ht="15.75" customHeight="1">
      <c r="C584" s="117"/>
    </row>
    <row r="585" ht="15.75" customHeight="1">
      <c r="C585" s="117"/>
    </row>
    <row r="586" ht="15.75" customHeight="1">
      <c r="C586" s="117"/>
    </row>
    <row r="587" ht="15.75" customHeight="1">
      <c r="C587" s="117"/>
    </row>
    <row r="588" ht="15.75" customHeight="1">
      <c r="C588" s="117"/>
    </row>
    <row r="589" ht="15.75" customHeight="1">
      <c r="C589" s="117"/>
    </row>
    <row r="590" ht="15.75" customHeight="1">
      <c r="C590" s="117"/>
    </row>
    <row r="591" ht="15.75" customHeight="1">
      <c r="C591" s="117"/>
    </row>
    <row r="592" ht="15.75" customHeight="1">
      <c r="C592" s="117"/>
    </row>
    <row r="593" ht="15.75" customHeight="1">
      <c r="C593" s="117"/>
    </row>
    <row r="594" ht="15.75" customHeight="1">
      <c r="C594" s="117"/>
    </row>
    <row r="595" ht="15.75" customHeight="1">
      <c r="C595" s="117"/>
    </row>
    <row r="596" ht="15.75" customHeight="1">
      <c r="C596" s="117"/>
    </row>
    <row r="597" ht="15.75" customHeight="1">
      <c r="C597" s="117"/>
    </row>
    <row r="598" ht="15.75" customHeight="1">
      <c r="C598" s="117"/>
    </row>
    <row r="599" ht="15.75" customHeight="1">
      <c r="C599" s="117"/>
    </row>
    <row r="600" ht="15.75" customHeight="1">
      <c r="C600" s="117"/>
    </row>
    <row r="601" ht="15.75" customHeight="1">
      <c r="C601" s="117"/>
    </row>
    <row r="602" ht="15.75" customHeight="1">
      <c r="C602" s="117"/>
    </row>
    <row r="603" ht="15.75" customHeight="1">
      <c r="C603" s="117"/>
    </row>
    <row r="604" ht="15.75" customHeight="1">
      <c r="C604" s="117"/>
    </row>
    <row r="605" ht="15.75" customHeight="1">
      <c r="C605" s="117"/>
    </row>
    <row r="606" ht="15.75" customHeight="1">
      <c r="C606" s="117"/>
    </row>
    <row r="607" ht="15.75" customHeight="1">
      <c r="C607" s="117"/>
    </row>
    <row r="608" ht="15.75" customHeight="1">
      <c r="C608" s="117"/>
    </row>
    <row r="609" ht="15.75" customHeight="1">
      <c r="C609" s="117"/>
    </row>
    <row r="610" ht="15.75" customHeight="1">
      <c r="C610" s="117"/>
    </row>
    <row r="611" ht="15.75" customHeight="1">
      <c r="C611" s="117"/>
    </row>
    <row r="612" ht="15.75" customHeight="1">
      <c r="C612" s="117"/>
    </row>
    <row r="613" ht="15.75" customHeight="1">
      <c r="C613" s="117"/>
    </row>
    <row r="614" ht="15.75" customHeight="1">
      <c r="C614" s="117"/>
    </row>
    <row r="615" ht="15.75" customHeight="1">
      <c r="C615" s="117"/>
    </row>
    <row r="616" ht="15.75" customHeight="1">
      <c r="C616" s="117"/>
    </row>
    <row r="617" ht="15.75" customHeight="1">
      <c r="C617" s="117"/>
    </row>
    <row r="618" ht="15.75" customHeight="1">
      <c r="C618" s="117"/>
    </row>
    <row r="619" ht="15.75" customHeight="1">
      <c r="C619" s="117"/>
    </row>
    <row r="620" ht="15.75" customHeight="1">
      <c r="C620" s="117"/>
    </row>
    <row r="621" ht="15.75" customHeight="1">
      <c r="C621" s="117"/>
    </row>
    <row r="622" ht="15.75" customHeight="1">
      <c r="C622" s="117"/>
    </row>
    <row r="623" ht="15.75" customHeight="1">
      <c r="C623" s="117"/>
    </row>
    <row r="624" ht="15.75" customHeight="1">
      <c r="C624" s="117"/>
    </row>
    <row r="625" ht="15.75" customHeight="1">
      <c r="C625" s="117"/>
    </row>
    <row r="626" ht="15.75" customHeight="1">
      <c r="C626" s="117"/>
    </row>
    <row r="627" ht="15.75" customHeight="1">
      <c r="C627" s="117"/>
    </row>
    <row r="628" ht="15.75" customHeight="1">
      <c r="C628" s="117"/>
    </row>
    <row r="629" ht="15.75" customHeight="1">
      <c r="C629" s="117"/>
    </row>
    <row r="630" ht="15.75" customHeight="1">
      <c r="C630" s="117"/>
    </row>
    <row r="631" ht="15.75" customHeight="1">
      <c r="C631" s="117"/>
    </row>
    <row r="632" ht="15.75" customHeight="1">
      <c r="C632" s="117"/>
    </row>
    <row r="633" ht="15.75" customHeight="1">
      <c r="C633" s="117"/>
    </row>
    <row r="634" ht="15.75" customHeight="1">
      <c r="C634" s="117"/>
    </row>
    <row r="635" ht="15.75" customHeight="1">
      <c r="C635" s="117"/>
    </row>
    <row r="636" ht="15.75" customHeight="1">
      <c r="C636" s="117"/>
    </row>
    <row r="637" ht="15.75" customHeight="1">
      <c r="C637" s="117"/>
    </row>
    <row r="638" ht="15.75" customHeight="1">
      <c r="C638" s="117"/>
    </row>
    <row r="639" ht="15.75" customHeight="1">
      <c r="C639" s="117"/>
    </row>
    <row r="640" ht="15.75" customHeight="1">
      <c r="C640" s="117"/>
    </row>
    <row r="641" ht="15.75" customHeight="1">
      <c r="C641" s="117"/>
    </row>
    <row r="642" ht="15.75" customHeight="1">
      <c r="C642" s="117"/>
    </row>
    <row r="643" ht="15.75" customHeight="1">
      <c r="C643" s="117"/>
    </row>
    <row r="644" ht="15.75" customHeight="1">
      <c r="C644" s="117"/>
    </row>
    <row r="645" ht="15.75" customHeight="1">
      <c r="C645" s="117"/>
    </row>
    <row r="646" ht="15.75" customHeight="1">
      <c r="C646" s="117"/>
    </row>
    <row r="647" ht="15.75" customHeight="1">
      <c r="C647" s="117"/>
    </row>
    <row r="648" ht="15.75" customHeight="1">
      <c r="C648" s="117"/>
    </row>
    <row r="649" ht="15.75" customHeight="1">
      <c r="C649" s="117"/>
    </row>
    <row r="650" ht="15.75" customHeight="1">
      <c r="C650" s="117"/>
    </row>
    <row r="651" ht="15.75" customHeight="1">
      <c r="C651" s="117"/>
    </row>
    <row r="652" ht="15.75" customHeight="1">
      <c r="C652" s="117"/>
    </row>
    <row r="653" ht="15.75" customHeight="1">
      <c r="C653" s="117"/>
    </row>
    <row r="654" ht="15.75" customHeight="1">
      <c r="C654" s="117"/>
    </row>
    <row r="655" ht="15.75" customHeight="1">
      <c r="C655" s="117"/>
    </row>
    <row r="656" ht="15.75" customHeight="1">
      <c r="C656" s="117"/>
    </row>
    <row r="657" ht="15.75" customHeight="1">
      <c r="C657" s="117"/>
    </row>
    <row r="658" ht="15.75" customHeight="1">
      <c r="C658" s="117"/>
    </row>
    <row r="659" ht="15.75" customHeight="1">
      <c r="C659" s="117"/>
    </row>
    <row r="660" ht="15.75" customHeight="1">
      <c r="C660" s="117"/>
    </row>
    <row r="661" ht="15.75" customHeight="1">
      <c r="C661" s="117"/>
    </row>
    <row r="662" ht="15.75" customHeight="1">
      <c r="C662" s="117"/>
    </row>
    <row r="663" ht="15.75" customHeight="1">
      <c r="C663" s="117"/>
    </row>
    <row r="664" ht="15.75" customHeight="1">
      <c r="C664" s="117"/>
    </row>
    <row r="665" ht="15.75" customHeight="1">
      <c r="C665" s="117"/>
    </row>
    <row r="666" ht="15.75" customHeight="1">
      <c r="C666" s="117"/>
    </row>
    <row r="667" ht="15.75" customHeight="1">
      <c r="C667" s="117"/>
    </row>
    <row r="668" ht="15.75" customHeight="1">
      <c r="C668" s="117"/>
    </row>
    <row r="669" ht="15.75" customHeight="1">
      <c r="C669" s="117"/>
    </row>
    <row r="670" ht="15.75" customHeight="1">
      <c r="C670" s="117"/>
    </row>
    <row r="671" ht="15.75" customHeight="1">
      <c r="C671" s="117"/>
    </row>
    <row r="672" ht="15.75" customHeight="1">
      <c r="C672" s="117"/>
    </row>
    <row r="673" ht="15.75" customHeight="1">
      <c r="C673" s="117"/>
    </row>
    <row r="674" ht="15.75" customHeight="1">
      <c r="C674" s="117"/>
    </row>
    <row r="675" ht="15.75" customHeight="1">
      <c r="C675" s="117"/>
    </row>
    <row r="676" ht="15.75" customHeight="1">
      <c r="C676" s="117"/>
    </row>
    <row r="677" ht="15.75" customHeight="1">
      <c r="C677" s="117"/>
    </row>
    <row r="678" ht="15.75" customHeight="1">
      <c r="C678" s="117"/>
    </row>
    <row r="679" ht="15.75" customHeight="1">
      <c r="C679" s="117"/>
    </row>
    <row r="680" ht="15.75" customHeight="1">
      <c r="C680" s="117"/>
    </row>
    <row r="681" ht="15.75" customHeight="1">
      <c r="C681" s="117"/>
    </row>
    <row r="682" ht="15.75" customHeight="1">
      <c r="C682" s="117"/>
    </row>
    <row r="683" ht="15.75" customHeight="1">
      <c r="C683" s="117"/>
    </row>
    <row r="684" ht="15.75" customHeight="1">
      <c r="C684" s="117"/>
    </row>
    <row r="685" ht="15.75" customHeight="1">
      <c r="C685" s="117"/>
    </row>
    <row r="686" ht="15.75" customHeight="1">
      <c r="C686" s="117"/>
    </row>
    <row r="687" ht="15.75" customHeight="1">
      <c r="C687" s="117"/>
    </row>
    <row r="688" ht="15.75" customHeight="1">
      <c r="C688" s="117"/>
    </row>
    <row r="689" ht="15.75" customHeight="1">
      <c r="C689" s="117"/>
    </row>
    <row r="690" ht="15.75" customHeight="1">
      <c r="C690" s="117"/>
    </row>
    <row r="691" ht="15.75" customHeight="1">
      <c r="C691" s="117"/>
    </row>
    <row r="692" ht="15.75" customHeight="1">
      <c r="C692" s="117"/>
    </row>
    <row r="693" ht="15.75" customHeight="1">
      <c r="C693" s="117"/>
    </row>
    <row r="694" ht="15.75" customHeight="1">
      <c r="C694" s="117"/>
    </row>
    <row r="695" ht="15.75" customHeight="1">
      <c r="C695" s="117"/>
    </row>
    <row r="696" ht="15.75" customHeight="1">
      <c r="C696" s="117"/>
    </row>
    <row r="697" ht="15.75" customHeight="1">
      <c r="C697" s="117"/>
    </row>
    <row r="698" ht="15.75" customHeight="1">
      <c r="C698" s="117"/>
    </row>
    <row r="699" ht="15.75" customHeight="1">
      <c r="C699" s="117"/>
    </row>
    <row r="700" ht="15.75" customHeight="1">
      <c r="C700" s="117"/>
    </row>
    <row r="701" ht="15.75" customHeight="1">
      <c r="C701" s="117"/>
    </row>
    <row r="702" ht="15.75" customHeight="1">
      <c r="C702" s="117"/>
    </row>
    <row r="703" ht="15.75" customHeight="1">
      <c r="C703" s="117"/>
    </row>
    <row r="704" ht="15.75" customHeight="1">
      <c r="C704" s="117"/>
    </row>
    <row r="705" ht="15.75" customHeight="1">
      <c r="C705" s="117"/>
    </row>
    <row r="706" ht="15.75" customHeight="1">
      <c r="C706" s="117"/>
    </row>
    <row r="707" ht="15.75" customHeight="1">
      <c r="C707" s="117"/>
    </row>
    <row r="708" ht="15.75" customHeight="1">
      <c r="C708" s="117"/>
    </row>
    <row r="709" ht="15.75" customHeight="1">
      <c r="C709" s="117"/>
    </row>
    <row r="710" ht="15.75" customHeight="1">
      <c r="C710" s="117"/>
    </row>
    <row r="711" ht="15.75" customHeight="1">
      <c r="C711" s="117"/>
    </row>
    <row r="712" ht="15.75" customHeight="1">
      <c r="C712" s="117"/>
    </row>
    <row r="713" ht="15.75" customHeight="1">
      <c r="C713" s="117"/>
    </row>
    <row r="714" ht="15.75" customHeight="1">
      <c r="C714" s="117"/>
    </row>
    <row r="715" ht="15.75" customHeight="1">
      <c r="C715" s="117"/>
    </row>
    <row r="716" ht="15.75" customHeight="1">
      <c r="C716" s="117"/>
    </row>
    <row r="717" ht="15.75" customHeight="1">
      <c r="C717" s="117"/>
    </row>
    <row r="718" ht="15.75" customHeight="1">
      <c r="C718" s="117"/>
    </row>
    <row r="719" ht="15.75" customHeight="1">
      <c r="C719" s="117"/>
    </row>
    <row r="720" ht="15.75" customHeight="1">
      <c r="C720" s="117"/>
    </row>
    <row r="721" ht="15.75" customHeight="1">
      <c r="C721" s="117"/>
    </row>
    <row r="722" ht="15.75" customHeight="1">
      <c r="C722" s="117"/>
    </row>
    <row r="723" ht="15.75" customHeight="1">
      <c r="C723" s="117"/>
    </row>
    <row r="724" ht="15.75" customHeight="1">
      <c r="C724" s="117"/>
    </row>
    <row r="725" ht="15.75" customHeight="1">
      <c r="C725" s="117"/>
    </row>
    <row r="726" ht="15.75" customHeight="1">
      <c r="C726" s="117"/>
    </row>
    <row r="727" ht="15.75" customHeight="1">
      <c r="C727" s="117"/>
    </row>
    <row r="728" ht="15.75" customHeight="1">
      <c r="C728" s="117"/>
    </row>
    <row r="729" ht="15.75" customHeight="1">
      <c r="C729" s="117"/>
    </row>
    <row r="730" ht="15.75" customHeight="1">
      <c r="C730" s="117"/>
    </row>
    <row r="731" ht="15.75" customHeight="1">
      <c r="C731" s="117"/>
    </row>
    <row r="732" ht="15.75" customHeight="1">
      <c r="C732" s="117"/>
    </row>
    <row r="733" ht="15.75" customHeight="1">
      <c r="C733" s="117"/>
    </row>
    <row r="734" ht="15.75" customHeight="1">
      <c r="C734" s="117"/>
    </row>
    <row r="735" ht="15.75" customHeight="1">
      <c r="C735" s="117"/>
    </row>
    <row r="736" ht="15.75" customHeight="1">
      <c r="C736" s="117"/>
    </row>
    <row r="737" ht="15.75" customHeight="1">
      <c r="C737" s="117"/>
    </row>
    <row r="738" ht="15.75" customHeight="1">
      <c r="C738" s="117"/>
    </row>
    <row r="739" ht="15.75" customHeight="1">
      <c r="C739" s="117"/>
    </row>
    <row r="740" ht="15.75" customHeight="1">
      <c r="C740" s="117"/>
    </row>
    <row r="741" ht="15.75" customHeight="1">
      <c r="C741" s="117"/>
    </row>
    <row r="742" ht="15.75" customHeight="1">
      <c r="C742" s="117"/>
    </row>
    <row r="743" ht="15.75" customHeight="1">
      <c r="C743" s="117"/>
    </row>
    <row r="744" ht="15.75" customHeight="1">
      <c r="C744" s="117"/>
    </row>
    <row r="745" ht="15.75" customHeight="1">
      <c r="C745" s="117"/>
    </row>
    <row r="746" ht="15.75" customHeight="1">
      <c r="C746" s="117"/>
    </row>
    <row r="747" ht="15.75" customHeight="1">
      <c r="C747" s="117"/>
    </row>
    <row r="748" ht="15.75" customHeight="1">
      <c r="C748" s="117"/>
    </row>
    <row r="749" ht="15.75" customHeight="1">
      <c r="C749" s="117"/>
    </row>
    <row r="750" ht="15.75" customHeight="1">
      <c r="C750" s="117"/>
    </row>
    <row r="751" ht="15.75" customHeight="1">
      <c r="C751" s="117"/>
    </row>
    <row r="752" ht="15.75" customHeight="1">
      <c r="C752" s="117"/>
    </row>
    <row r="753" ht="15.75" customHeight="1">
      <c r="C753" s="117"/>
    </row>
    <row r="754" ht="15.75" customHeight="1">
      <c r="C754" s="117"/>
    </row>
    <row r="755" ht="15.75" customHeight="1">
      <c r="C755" s="117"/>
    </row>
    <row r="756" ht="15.75" customHeight="1">
      <c r="C756" s="117"/>
    </row>
    <row r="757" ht="15.75" customHeight="1">
      <c r="C757" s="117"/>
    </row>
    <row r="758" ht="15.75" customHeight="1">
      <c r="C758" s="117"/>
    </row>
    <row r="759" ht="15.75" customHeight="1">
      <c r="C759" s="117"/>
    </row>
    <row r="760" ht="15.75" customHeight="1">
      <c r="C760" s="117"/>
    </row>
    <row r="761" ht="15.75" customHeight="1">
      <c r="C761" s="117"/>
    </row>
    <row r="762" ht="15.75" customHeight="1">
      <c r="C762" s="117"/>
    </row>
    <row r="763" ht="15.75" customHeight="1">
      <c r="C763" s="117"/>
    </row>
    <row r="764" ht="15.75" customHeight="1">
      <c r="C764" s="117"/>
    </row>
    <row r="765" ht="15.75" customHeight="1">
      <c r="C765" s="117"/>
    </row>
    <row r="766" ht="15.75" customHeight="1">
      <c r="C766" s="117"/>
    </row>
    <row r="767" ht="15.75" customHeight="1">
      <c r="C767" s="117"/>
    </row>
    <row r="768" ht="15.75" customHeight="1">
      <c r="C768" s="117"/>
    </row>
    <row r="769" ht="15.75" customHeight="1">
      <c r="C769" s="117"/>
    </row>
    <row r="770" ht="15.75" customHeight="1">
      <c r="C770" s="117"/>
    </row>
    <row r="771" ht="15.75" customHeight="1">
      <c r="C771" s="117"/>
    </row>
    <row r="772" ht="15.75" customHeight="1">
      <c r="C772" s="117"/>
    </row>
    <row r="773" ht="15.75" customHeight="1">
      <c r="C773" s="117"/>
    </row>
    <row r="774" ht="15.75" customHeight="1">
      <c r="C774" s="117"/>
    </row>
    <row r="775" ht="15.75" customHeight="1">
      <c r="C775" s="117"/>
    </row>
    <row r="776" ht="15.75" customHeight="1">
      <c r="C776" s="117"/>
    </row>
    <row r="777" ht="15.75" customHeight="1">
      <c r="C777" s="117"/>
    </row>
    <row r="778" ht="15.75" customHeight="1">
      <c r="C778" s="117"/>
    </row>
    <row r="779" ht="15.75" customHeight="1">
      <c r="C779" s="117"/>
    </row>
    <row r="780" ht="15.75" customHeight="1">
      <c r="C780" s="117"/>
    </row>
    <row r="781" ht="15.75" customHeight="1">
      <c r="C781" s="117"/>
    </row>
    <row r="782" ht="15.75" customHeight="1">
      <c r="C782" s="117"/>
    </row>
    <row r="783" ht="15.75" customHeight="1">
      <c r="C783" s="117"/>
    </row>
    <row r="784" ht="15.75" customHeight="1">
      <c r="C784" s="117"/>
    </row>
    <row r="785" ht="15.75" customHeight="1">
      <c r="C785" s="117"/>
    </row>
    <row r="786" ht="15.75" customHeight="1">
      <c r="C786" s="117"/>
    </row>
    <row r="787" ht="15.75" customHeight="1">
      <c r="C787" s="117"/>
    </row>
    <row r="788" ht="15.75" customHeight="1">
      <c r="C788" s="117"/>
    </row>
    <row r="789" ht="15.75" customHeight="1">
      <c r="C789" s="117"/>
    </row>
    <row r="790" ht="15.75" customHeight="1">
      <c r="C790" s="117"/>
    </row>
    <row r="791" ht="15.75" customHeight="1">
      <c r="C791" s="117"/>
    </row>
    <row r="792" ht="15.75" customHeight="1">
      <c r="C792" s="117"/>
    </row>
    <row r="793" ht="15.75" customHeight="1">
      <c r="C793" s="117"/>
    </row>
    <row r="794" ht="15.75" customHeight="1">
      <c r="C794" s="117"/>
    </row>
    <row r="795" ht="15.75" customHeight="1">
      <c r="C795" s="117"/>
    </row>
    <row r="796" ht="15.75" customHeight="1">
      <c r="C796" s="117"/>
    </row>
    <row r="797" ht="15.75" customHeight="1">
      <c r="C797" s="117"/>
    </row>
    <row r="798" ht="15.75" customHeight="1">
      <c r="C798" s="117"/>
    </row>
    <row r="799" ht="15.75" customHeight="1">
      <c r="C799" s="117"/>
    </row>
    <row r="800" ht="15.75" customHeight="1">
      <c r="C800" s="117"/>
    </row>
    <row r="801" ht="15.75" customHeight="1">
      <c r="C801" s="117"/>
    </row>
    <row r="802" ht="15.75" customHeight="1">
      <c r="C802" s="117"/>
    </row>
    <row r="803" ht="15.75" customHeight="1">
      <c r="C803" s="117"/>
    </row>
    <row r="804" ht="15.75" customHeight="1">
      <c r="C804" s="117"/>
    </row>
    <row r="805" ht="15.75" customHeight="1">
      <c r="C805" s="117"/>
    </row>
    <row r="806" ht="15.75" customHeight="1">
      <c r="C806" s="117"/>
    </row>
    <row r="807" ht="15.75" customHeight="1">
      <c r="C807" s="117"/>
    </row>
    <row r="808" ht="15.75" customHeight="1">
      <c r="C808" s="117"/>
    </row>
    <row r="809" ht="15.75" customHeight="1">
      <c r="C809" s="117"/>
    </row>
    <row r="810" ht="15.75" customHeight="1">
      <c r="C810" s="117"/>
    </row>
    <row r="811" ht="15.75" customHeight="1">
      <c r="C811" s="117"/>
    </row>
    <row r="812" ht="15.75" customHeight="1">
      <c r="C812" s="117"/>
    </row>
    <row r="813" ht="15.75" customHeight="1">
      <c r="C813" s="117"/>
    </row>
    <row r="814" ht="15.75" customHeight="1">
      <c r="C814" s="117"/>
    </row>
    <row r="815" ht="15.75" customHeight="1">
      <c r="C815" s="117"/>
    </row>
    <row r="816" ht="15.75" customHeight="1">
      <c r="C816" s="117"/>
    </row>
    <row r="817" ht="15.75" customHeight="1">
      <c r="C817" s="117"/>
    </row>
    <row r="818" ht="15.75" customHeight="1">
      <c r="C818" s="117"/>
    </row>
    <row r="819" ht="15.75" customHeight="1">
      <c r="C819" s="117"/>
    </row>
    <row r="820" ht="15.75" customHeight="1">
      <c r="C820" s="117"/>
    </row>
    <row r="821" ht="15.75" customHeight="1">
      <c r="C821" s="117"/>
    </row>
    <row r="822" ht="15.75" customHeight="1">
      <c r="C822" s="117"/>
    </row>
    <row r="823" ht="15.75" customHeight="1">
      <c r="C823" s="117"/>
    </row>
    <row r="824" ht="15.75" customHeight="1">
      <c r="C824" s="117"/>
    </row>
    <row r="825" ht="15.75" customHeight="1">
      <c r="C825" s="117"/>
    </row>
    <row r="826" ht="15.75" customHeight="1">
      <c r="C826" s="117"/>
    </row>
    <row r="827" ht="15.75" customHeight="1">
      <c r="C827" s="117"/>
    </row>
    <row r="828" ht="15.75" customHeight="1">
      <c r="C828" s="117"/>
    </row>
    <row r="829" ht="15.75" customHeight="1">
      <c r="C829" s="117"/>
    </row>
    <row r="830" ht="15.75" customHeight="1">
      <c r="C830" s="117"/>
    </row>
    <row r="831" ht="15.75" customHeight="1">
      <c r="C831" s="117"/>
    </row>
    <row r="832" ht="15.75" customHeight="1">
      <c r="C832" s="117"/>
    </row>
    <row r="833" ht="15.75" customHeight="1">
      <c r="C833" s="117"/>
    </row>
    <row r="834" ht="15.75" customHeight="1">
      <c r="C834" s="117"/>
    </row>
    <row r="835" ht="15.75" customHeight="1">
      <c r="C835" s="117"/>
    </row>
    <row r="836" ht="15.75" customHeight="1">
      <c r="C836" s="117"/>
    </row>
    <row r="837" ht="15.75" customHeight="1">
      <c r="C837" s="117"/>
    </row>
    <row r="838" ht="15.75" customHeight="1">
      <c r="C838" s="117"/>
    </row>
    <row r="839" ht="15.75" customHeight="1">
      <c r="C839" s="117"/>
    </row>
    <row r="840" ht="15.75" customHeight="1">
      <c r="C840" s="117"/>
    </row>
    <row r="841" ht="15.75" customHeight="1">
      <c r="C841" s="117"/>
    </row>
    <row r="842" ht="15.75" customHeight="1">
      <c r="C842" s="117"/>
    </row>
    <row r="843" ht="15.75" customHeight="1">
      <c r="C843" s="117"/>
    </row>
    <row r="844" ht="15.75" customHeight="1">
      <c r="C844" s="117"/>
    </row>
    <row r="845" ht="15.75" customHeight="1">
      <c r="C845" s="117"/>
    </row>
    <row r="846" ht="15.75" customHeight="1">
      <c r="C846" s="117"/>
    </row>
    <row r="847" ht="15.75" customHeight="1">
      <c r="C847" s="117"/>
    </row>
    <row r="848" ht="15.75" customHeight="1">
      <c r="C848" s="117"/>
    </row>
    <row r="849" ht="15.75" customHeight="1">
      <c r="C849" s="117"/>
    </row>
    <row r="850" ht="15.75" customHeight="1">
      <c r="C850" s="117"/>
    </row>
    <row r="851" ht="15.75" customHeight="1">
      <c r="C851" s="117"/>
    </row>
    <row r="852" ht="15.75" customHeight="1">
      <c r="C852" s="117"/>
    </row>
    <row r="853" ht="15.75" customHeight="1">
      <c r="C853" s="117"/>
    </row>
    <row r="854" ht="15.75" customHeight="1">
      <c r="C854" s="117"/>
    </row>
    <row r="855" ht="15.75" customHeight="1">
      <c r="C855" s="117"/>
    </row>
    <row r="856" ht="15.75" customHeight="1">
      <c r="C856" s="117"/>
    </row>
    <row r="857" ht="15.75" customHeight="1">
      <c r="C857" s="117"/>
    </row>
    <row r="858" ht="15.75" customHeight="1">
      <c r="C858" s="117"/>
    </row>
    <row r="859" ht="15.75" customHeight="1">
      <c r="C859" s="117"/>
    </row>
    <row r="860" ht="15.75" customHeight="1">
      <c r="C860" s="117"/>
    </row>
    <row r="861" ht="15.75" customHeight="1">
      <c r="C861" s="117"/>
    </row>
    <row r="862" ht="15.75" customHeight="1">
      <c r="C862" s="117"/>
    </row>
    <row r="863" ht="15.75" customHeight="1">
      <c r="C863" s="117"/>
    </row>
    <row r="864" ht="15.75" customHeight="1">
      <c r="C864" s="117"/>
    </row>
    <row r="865" ht="15.75" customHeight="1">
      <c r="C865" s="117"/>
    </row>
    <row r="866" ht="15.75" customHeight="1">
      <c r="C866" s="117"/>
    </row>
    <row r="867" ht="15.75" customHeight="1">
      <c r="C867" s="117"/>
    </row>
    <row r="868" ht="15.75" customHeight="1">
      <c r="C868" s="117"/>
    </row>
    <row r="869" ht="15.75" customHeight="1">
      <c r="C869" s="117"/>
    </row>
    <row r="870" ht="15.75" customHeight="1">
      <c r="C870" s="117"/>
    </row>
    <row r="871" ht="15.75" customHeight="1">
      <c r="C871" s="117"/>
    </row>
    <row r="872" ht="15.75" customHeight="1">
      <c r="C872" s="117"/>
    </row>
    <row r="873" ht="15.75" customHeight="1">
      <c r="C873" s="117"/>
    </row>
    <row r="874" ht="15.75" customHeight="1">
      <c r="C874" s="117"/>
    </row>
    <row r="875" ht="15.75" customHeight="1">
      <c r="C875" s="117"/>
    </row>
    <row r="876" ht="15.75" customHeight="1">
      <c r="C876" s="117"/>
    </row>
    <row r="877" ht="15.75" customHeight="1">
      <c r="C877" s="117"/>
    </row>
    <row r="878" ht="15.75" customHeight="1">
      <c r="C878" s="117"/>
    </row>
    <row r="879" ht="15.75" customHeight="1">
      <c r="C879" s="117"/>
    </row>
    <row r="880" ht="15.75" customHeight="1">
      <c r="C880" s="117"/>
    </row>
    <row r="881" ht="15.75" customHeight="1">
      <c r="C881" s="117"/>
    </row>
    <row r="882" ht="15.75" customHeight="1">
      <c r="C882" s="117"/>
    </row>
    <row r="883" ht="15.75" customHeight="1">
      <c r="C883" s="117"/>
    </row>
    <row r="884" ht="15.75" customHeight="1">
      <c r="C884" s="117"/>
    </row>
    <row r="885" ht="15.75" customHeight="1">
      <c r="C885" s="117"/>
    </row>
    <row r="886" ht="15.75" customHeight="1">
      <c r="C886" s="117"/>
    </row>
    <row r="887" ht="15.75" customHeight="1">
      <c r="C887" s="117"/>
    </row>
    <row r="888" ht="15.75" customHeight="1">
      <c r="C888" s="117"/>
    </row>
    <row r="889" ht="15.75" customHeight="1">
      <c r="C889" s="117"/>
    </row>
    <row r="890" ht="15.75" customHeight="1">
      <c r="C890" s="117"/>
    </row>
    <row r="891" ht="15.75" customHeight="1">
      <c r="C891" s="117"/>
    </row>
    <row r="892" ht="15.75" customHeight="1">
      <c r="C892" s="117"/>
    </row>
    <row r="893" ht="15.75" customHeight="1">
      <c r="C893" s="117"/>
    </row>
    <row r="894" ht="15.75" customHeight="1">
      <c r="C894" s="117"/>
    </row>
    <row r="895" ht="15.75" customHeight="1">
      <c r="C895" s="117"/>
    </row>
    <row r="896" ht="15.75" customHeight="1">
      <c r="C896" s="117"/>
    </row>
    <row r="897" ht="15.75" customHeight="1">
      <c r="C897" s="117"/>
    </row>
    <row r="898" ht="15.75" customHeight="1">
      <c r="C898" s="117"/>
    </row>
    <row r="899" ht="15.75" customHeight="1">
      <c r="C899" s="117"/>
    </row>
    <row r="900" ht="15.75" customHeight="1">
      <c r="C900" s="117"/>
    </row>
    <row r="901" ht="15.75" customHeight="1">
      <c r="C901" s="117"/>
    </row>
    <row r="902" ht="15.75" customHeight="1">
      <c r="C902" s="117"/>
    </row>
    <row r="903" ht="15.75" customHeight="1">
      <c r="C903" s="117"/>
    </row>
    <row r="904" ht="15.75" customHeight="1">
      <c r="C904" s="117"/>
    </row>
    <row r="905" ht="15.75" customHeight="1">
      <c r="C905" s="117"/>
    </row>
    <row r="906" ht="15.75" customHeight="1">
      <c r="C906" s="117"/>
    </row>
    <row r="907" ht="15.75" customHeight="1">
      <c r="C907" s="117"/>
    </row>
    <row r="908" ht="15.75" customHeight="1">
      <c r="C908" s="117"/>
    </row>
    <row r="909" ht="15.75" customHeight="1">
      <c r="C909" s="117"/>
    </row>
    <row r="910" ht="15.75" customHeight="1">
      <c r="C910" s="117"/>
    </row>
    <row r="911" ht="15.75" customHeight="1">
      <c r="C911" s="117"/>
    </row>
    <row r="912" ht="15.75" customHeight="1">
      <c r="C912" s="117"/>
    </row>
    <row r="913" ht="15.75" customHeight="1">
      <c r="C913" s="117"/>
    </row>
    <row r="914" ht="15.75" customHeight="1">
      <c r="C914" s="117"/>
    </row>
    <row r="915" ht="15.75" customHeight="1">
      <c r="C915" s="117"/>
    </row>
    <row r="916" ht="15.75" customHeight="1">
      <c r="C916" s="117"/>
    </row>
    <row r="917" ht="15.75" customHeight="1">
      <c r="C917" s="117"/>
    </row>
    <row r="918" ht="15.75" customHeight="1">
      <c r="C918" s="117"/>
    </row>
    <row r="919" ht="15.75" customHeight="1">
      <c r="C919" s="117"/>
    </row>
    <row r="920" ht="15.75" customHeight="1">
      <c r="C920" s="117"/>
    </row>
    <row r="921" ht="15.75" customHeight="1">
      <c r="C921" s="117"/>
    </row>
    <row r="922" ht="15.75" customHeight="1">
      <c r="C922" s="117"/>
    </row>
    <row r="923" ht="15.75" customHeight="1">
      <c r="C923" s="117"/>
    </row>
    <row r="924" ht="15.75" customHeight="1">
      <c r="C924" s="117"/>
    </row>
    <row r="925" ht="15.75" customHeight="1">
      <c r="C925" s="117"/>
    </row>
    <row r="926" ht="15.75" customHeight="1">
      <c r="C926" s="117"/>
    </row>
    <row r="927" ht="15.75" customHeight="1">
      <c r="C927" s="117"/>
    </row>
    <row r="928" ht="15.75" customHeight="1">
      <c r="C928" s="117"/>
    </row>
    <row r="929" ht="15.75" customHeight="1">
      <c r="C929" s="117"/>
    </row>
    <row r="930" ht="15.75" customHeight="1">
      <c r="C930" s="117"/>
    </row>
    <row r="931" ht="15.75" customHeight="1">
      <c r="C931" s="117"/>
    </row>
    <row r="932" ht="15.75" customHeight="1">
      <c r="C932" s="117"/>
    </row>
    <row r="933" ht="15.75" customHeight="1">
      <c r="C933" s="117"/>
    </row>
    <row r="934" ht="15.75" customHeight="1">
      <c r="C934" s="117"/>
    </row>
    <row r="935" ht="15.75" customHeight="1">
      <c r="C935" s="117"/>
    </row>
    <row r="936" ht="15.75" customHeight="1">
      <c r="C936" s="117"/>
    </row>
    <row r="937" ht="15.75" customHeight="1">
      <c r="C937" s="117"/>
    </row>
    <row r="938" ht="15.75" customHeight="1">
      <c r="C938" s="117"/>
    </row>
    <row r="939" ht="15.75" customHeight="1">
      <c r="C939" s="117"/>
    </row>
    <row r="940" ht="15.75" customHeight="1">
      <c r="C940" s="117"/>
    </row>
    <row r="941" ht="15.75" customHeight="1">
      <c r="C941" s="117"/>
    </row>
    <row r="942" ht="15.75" customHeight="1">
      <c r="C942" s="117"/>
    </row>
    <row r="943" ht="15.75" customHeight="1">
      <c r="C943" s="117"/>
    </row>
    <row r="944" ht="15.75" customHeight="1">
      <c r="C944" s="117"/>
    </row>
    <row r="945" ht="15.75" customHeight="1">
      <c r="C945" s="117"/>
    </row>
    <row r="946" ht="15.75" customHeight="1">
      <c r="C946" s="117"/>
    </row>
    <row r="947" ht="15.75" customHeight="1">
      <c r="C947" s="117"/>
    </row>
    <row r="948" ht="15.75" customHeight="1">
      <c r="C948" s="117"/>
    </row>
    <row r="949" ht="15.75" customHeight="1">
      <c r="C949" s="117"/>
    </row>
    <row r="950" ht="15.75" customHeight="1">
      <c r="C950" s="117"/>
    </row>
    <row r="951" ht="15.75" customHeight="1">
      <c r="C951" s="117"/>
    </row>
    <row r="952" ht="15.75" customHeight="1">
      <c r="C952" s="117"/>
    </row>
    <row r="953" ht="15.75" customHeight="1">
      <c r="C953" s="117"/>
    </row>
    <row r="954" ht="15.75" customHeight="1">
      <c r="C954" s="117"/>
    </row>
    <row r="955" ht="15.75" customHeight="1">
      <c r="C955" s="117"/>
    </row>
    <row r="956" ht="15.75" customHeight="1">
      <c r="C956" s="117"/>
    </row>
    <row r="957" ht="15.75" customHeight="1">
      <c r="C957" s="117"/>
    </row>
    <row r="958" ht="15.75" customHeight="1">
      <c r="C958" s="117"/>
    </row>
    <row r="959" ht="15.75" customHeight="1">
      <c r="C959" s="117"/>
    </row>
    <row r="960" ht="15.75" customHeight="1">
      <c r="C960" s="117"/>
    </row>
    <row r="961" ht="15.75" customHeight="1">
      <c r="C961" s="117"/>
    </row>
    <row r="962" ht="15.75" customHeight="1">
      <c r="C962" s="117"/>
    </row>
    <row r="963" ht="15.75" customHeight="1">
      <c r="C963" s="117"/>
    </row>
    <row r="964" ht="15.75" customHeight="1">
      <c r="C964" s="117"/>
    </row>
    <row r="965" ht="15.75" customHeight="1">
      <c r="C965" s="117"/>
    </row>
    <row r="966" ht="15.75" customHeight="1">
      <c r="C966" s="117"/>
    </row>
    <row r="967" ht="15.75" customHeight="1">
      <c r="C967" s="117"/>
    </row>
    <row r="968" ht="15.75" customHeight="1">
      <c r="C968" s="117"/>
    </row>
    <row r="969" ht="15.75" customHeight="1">
      <c r="C969" s="117"/>
    </row>
    <row r="970" ht="15.75" customHeight="1">
      <c r="C970" s="117"/>
    </row>
    <row r="971" ht="15.75" customHeight="1">
      <c r="C971" s="117"/>
    </row>
    <row r="972" ht="15.75" customHeight="1">
      <c r="C972" s="117"/>
    </row>
    <row r="973" ht="15.75" customHeight="1">
      <c r="C973" s="117"/>
    </row>
    <row r="974" ht="15.75" customHeight="1">
      <c r="C974" s="117"/>
    </row>
    <row r="975" ht="15.75" customHeight="1">
      <c r="C975" s="117"/>
    </row>
    <row r="976" ht="15.75" customHeight="1">
      <c r="C976" s="117"/>
    </row>
    <row r="977" ht="15.75" customHeight="1">
      <c r="C977" s="117"/>
    </row>
    <row r="978" ht="15.75" customHeight="1">
      <c r="C978" s="117"/>
    </row>
    <row r="979" ht="15.75" customHeight="1">
      <c r="C979" s="117"/>
    </row>
    <row r="980" ht="15.75" customHeight="1">
      <c r="C980" s="117"/>
    </row>
    <row r="981" ht="15.75" customHeight="1">
      <c r="C981" s="117"/>
    </row>
    <row r="982" ht="15.75" customHeight="1">
      <c r="C982" s="117"/>
    </row>
    <row r="983" ht="15.75" customHeight="1">
      <c r="C983" s="117"/>
    </row>
    <row r="984" ht="15.75" customHeight="1">
      <c r="C984" s="117"/>
    </row>
    <row r="985" ht="15.75" customHeight="1">
      <c r="C985" s="117"/>
    </row>
    <row r="986" ht="15.75" customHeight="1">
      <c r="C986" s="117"/>
    </row>
    <row r="987" ht="15.75" customHeight="1">
      <c r="C987" s="117"/>
    </row>
    <row r="988" ht="15.75" customHeight="1">
      <c r="C988" s="117"/>
    </row>
    <row r="989" ht="15.75" customHeight="1">
      <c r="C989" s="117"/>
    </row>
    <row r="990" ht="15.75" customHeight="1">
      <c r="C990" s="117"/>
    </row>
    <row r="991" ht="15.75" customHeight="1">
      <c r="C991" s="117"/>
    </row>
    <row r="992" ht="15.75" customHeight="1">
      <c r="C992" s="117"/>
    </row>
    <row r="993" ht="15.75" customHeight="1">
      <c r="C993" s="117"/>
    </row>
    <row r="994" ht="15.75" customHeight="1">
      <c r="C994" s="117"/>
    </row>
    <row r="995" ht="15.75" customHeight="1">
      <c r="C995" s="117"/>
    </row>
    <row r="996" ht="15.75" customHeight="1">
      <c r="C996" s="117"/>
    </row>
    <row r="997" ht="15.75" customHeight="1">
      <c r="C997" s="117"/>
    </row>
    <row r="998" ht="15.75" customHeight="1">
      <c r="C998" s="117"/>
    </row>
    <row r="999" ht="15.75" customHeight="1">
      <c r="C999" s="117"/>
    </row>
    <row r="1000" ht="15.75" customHeight="1">
      <c r="C1000" s="117"/>
    </row>
  </sheetData>
  <autoFilter ref="$A$6:$D$6"/>
  <mergeCells count="3">
    <mergeCell ref="C1:H1"/>
    <mergeCell ref="C2:H2"/>
    <mergeCell ref="C3:C4"/>
  </mergeCells>
  <dataValidations>
    <dataValidation type="list" allowBlank="1" showErrorMessage="1" sqref="D5:I5">
      <formula1>#REF!</formula1>
    </dataValidation>
  </dataValidations>
  <printOptions horizontalCentered="1"/>
  <pageMargins bottom="0.3937007874015748" footer="0.0" header="0.0" left="0.3937007874015748" right="0.3937007874015748" top="0.3937007874015748"/>
  <pageSetup paperSize="8" orientation="portrait"/>
  <headerFooter>
    <oddFooter>&amp;L&amp;F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4.43" defaultRowHeight="15.0"/>
  <cols>
    <col customWidth="1" min="1" max="1" width="8.71"/>
    <col customWidth="1" min="2" max="2" width="41.71"/>
    <col customWidth="1" min="3" max="3" width="11.71"/>
    <col customWidth="1" min="4" max="4" width="11.29"/>
    <col customWidth="1" min="5" max="20" width="10.43"/>
    <col customWidth="1" hidden="1" min="21" max="21" width="9.43"/>
    <col customWidth="1" hidden="1" min="22" max="30" width="8.71"/>
    <col customWidth="1" hidden="1" min="31" max="31" width="11.71"/>
    <col customWidth="1" hidden="1" min="32" max="33" width="8.71"/>
    <col customWidth="1" min="34" max="38" width="8.71"/>
  </cols>
  <sheetData>
    <row r="1">
      <c r="A1" s="9"/>
      <c r="B1" s="9"/>
      <c r="C1" s="9"/>
      <c r="D1" s="9"/>
      <c r="E1" s="118" t="s">
        <v>143</v>
      </c>
      <c r="U1" s="118" t="s">
        <v>144</v>
      </c>
      <c r="AE1" s="119"/>
      <c r="AF1" s="9"/>
      <c r="AG1" s="9"/>
      <c r="AH1" s="9"/>
      <c r="AI1" s="9"/>
      <c r="AJ1" s="9"/>
      <c r="AK1" s="9"/>
      <c r="AL1" s="9"/>
    </row>
    <row r="2" ht="20.25" customHeight="1">
      <c r="A2" s="120"/>
      <c r="B2" s="120"/>
      <c r="C2" s="120"/>
      <c r="D2" s="120"/>
      <c r="E2" s="121" t="s">
        <v>145</v>
      </c>
      <c r="F2" s="43"/>
      <c r="G2" s="121" t="s">
        <v>120</v>
      </c>
      <c r="H2" s="43"/>
      <c r="I2" s="121" t="s">
        <v>121</v>
      </c>
      <c r="J2" s="43"/>
      <c r="K2" s="121" t="s">
        <v>122</v>
      </c>
      <c r="L2" s="43"/>
      <c r="M2" s="121" t="s">
        <v>123</v>
      </c>
      <c r="N2" s="43"/>
      <c r="O2" s="121" t="s">
        <v>124</v>
      </c>
      <c r="P2" s="43"/>
      <c r="Q2" s="121" t="s">
        <v>146</v>
      </c>
      <c r="R2" s="43"/>
      <c r="S2" s="121" t="s">
        <v>12</v>
      </c>
      <c r="T2" s="43"/>
      <c r="U2" s="122" t="s">
        <v>147</v>
      </c>
      <c r="W2" s="122" t="s">
        <v>148</v>
      </c>
      <c r="Y2" s="122" t="s">
        <v>149</v>
      </c>
      <c r="AA2" s="122" t="s">
        <v>150</v>
      </c>
      <c r="AC2" s="122" t="s">
        <v>151</v>
      </c>
      <c r="AE2" s="123"/>
      <c r="AF2" s="124"/>
      <c r="AG2" s="125"/>
      <c r="AH2" s="125"/>
      <c r="AI2" s="125"/>
      <c r="AJ2" s="125"/>
      <c r="AK2" s="125"/>
      <c r="AL2" s="125"/>
    </row>
    <row r="3">
      <c r="A3" s="120" t="s">
        <v>152</v>
      </c>
      <c r="B3" s="120" t="s">
        <v>153</v>
      </c>
      <c r="C3" s="120" t="s">
        <v>154</v>
      </c>
      <c r="D3" s="120" t="s">
        <v>155</v>
      </c>
      <c r="E3" s="120" t="s">
        <v>156</v>
      </c>
      <c r="F3" s="120" t="s">
        <v>157</v>
      </c>
      <c r="G3" s="120" t="s">
        <v>156</v>
      </c>
      <c r="H3" s="120" t="s">
        <v>157</v>
      </c>
      <c r="I3" s="120" t="s">
        <v>156</v>
      </c>
      <c r="J3" s="120" t="s">
        <v>157</v>
      </c>
      <c r="K3" s="120" t="s">
        <v>156</v>
      </c>
      <c r="L3" s="120" t="s">
        <v>157</v>
      </c>
      <c r="M3" s="120" t="s">
        <v>156</v>
      </c>
      <c r="N3" s="120" t="s">
        <v>157</v>
      </c>
      <c r="O3" s="120" t="s">
        <v>156</v>
      </c>
      <c r="P3" s="120" t="s">
        <v>157</v>
      </c>
      <c r="Q3" s="120" t="s">
        <v>156</v>
      </c>
      <c r="R3" s="120" t="s">
        <v>157</v>
      </c>
      <c r="S3" s="120" t="s">
        <v>156</v>
      </c>
      <c r="T3" s="120" t="s">
        <v>157</v>
      </c>
      <c r="U3" s="126" t="s">
        <v>156</v>
      </c>
      <c r="V3" s="126" t="s">
        <v>157</v>
      </c>
      <c r="W3" s="126" t="s">
        <v>156</v>
      </c>
      <c r="X3" s="126" t="s">
        <v>157</v>
      </c>
      <c r="Y3" s="126" t="s">
        <v>156</v>
      </c>
      <c r="Z3" s="126" t="s">
        <v>157</v>
      </c>
      <c r="AA3" s="126" t="s">
        <v>156</v>
      </c>
      <c r="AB3" s="126" t="s">
        <v>157</v>
      </c>
      <c r="AC3" s="126" t="s">
        <v>156</v>
      </c>
      <c r="AD3" s="126" t="s">
        <v>157</v>
      </c>
      <c r="AE3" s="127" t="s">
        <v>158</v>
      </c>
      <c r="AF3" s="124"/>
      <c r="AG3" s="125"/>
      <c r="AH3" s="125"/>
      <c r="AI3" s="125"/>
      <c r="AJ3" s="125"/>
      <c r="AK3" s="125"/>
      <c r="AL3" s="125"/>
    </row>
    <row r="4">
      <c r="A4" s="128">
        <v>1.0</v>
      </c>
      <c r="B4" s="129" t="s">
        <v>159</v>
      </c>
      <c r="C4" s="130"/>
      <c r="D4" s="131"/>
      <c r="E4" s="132">
        <f>+'T1-T6+Infra+MLCP'!D7</f>
        <v>45469</v>
      </c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3" t="str">
        <f>+'T1-T6+Infra+MLCP'!T7</f>
        <v/>
      </c>
      <c r="V4" s="133"/>
      <c r="W4" s="133"/>
      <c r="X4" s="133"/>
      <c r="Y4" s="133"/>
      <c r="Z4" s="133"/>
      <c r="AA4" s="133"/>
      <c r="AB4" s="133"/>
      <c r="AC4" s="133"/>
      <c r="AD4" s="133"/>
      <c r="AE4" s="134"/>
      <c r="AF4" s="135"/>
      <c r="AG4" s="125"/>
      <c r="AH4" s="125"/>
      <c r="AI4" s="125"/>
      <c r="AJ4" s="125"/>
      <c r="AK4" s="125"/>
      <c r="AL4" s="125"/>
    </row>
    <row r="5">
      <c r="A5" s="128">
        <v>2.0</v>
      </c>
      <c r="B5" s="136" t="s">
        <v>39</v>
      </c>
      <c r="C5" s="130"/>
      <c r="D5" s="128">
        <v>12.0</v>
      </c>
      <c r="E5" s="137">
        <f>IFERROR(($E$4+(7*D5)),"NA")</f>
        <v>45553</v>
      </c>
      <c r="F5" s="132"/>
      <c r="G5" s="137">
        <f>+E5+(4*7)</f>
        <v>45581</v>
      </c>
      <c r="H5" s="132"/>
      <c r="I5" s="137">
        <f>+G5+(4*7)</f>
        <v>45609</v>
      </c>
      <c r="J5" s="132"/>
      <c r="K5" s="137">
        <f>+I5+(4*7)</f>
        <v>45637</v>
      </c>
      <c r="L5" s="132"/>
      <c r="M5" s="137">
        <f>+K5+(4*7)</f>
        <v>45665</v>
      </c>
      <c r="N5" s="132"/>
      <c r="O5" s="137">
        <f>+M5+(4*7)</f>
        <v>45693</v>
      </c>
      <c r="P5" s="132"/>
      <c r="Q5" s="132"/>
      <c r="R5" s="132"/>
      <c r="S5" s="132"/>
      <c r="T5" s="132"/>
      <c r="U5" s="133">
        <f>IFERROR(($E$4+(7*T5)),"NA")</f>
        <v>45469</v>
      </c>
      <c r="V5" s="133"/>
      <c r="W5" s="133"/>
      <c r="X5" s="133"/>
      <c r="Y5" s="133"/>
      <c r="Z5" s="133"/>
      <c r="AA5" s="133"/>
      <c r="AB5" s="133"/>
      <c r="AC5" s="133"/>
      <c r="AD5" s="133"/>
      <c r="AE5" s="134"/>
      <c r="AF5" s="135"/>
      <c r="AG5" s="125"/>
      <c r="AH5" s="125"/>
      <c r="AI5" s="125"/>
      <c r="AJ5" s="125"/>
      <c r="AK5" s="125"/>
      <c r="AL5" s="125"/>
    </row>
    <row r="6">
      <c r="A6" s="138" t="s">
        <v>160</v>
      </c>
      <c r="B6" s="139" t="s">
        <v>161</v>
      </c>
      <c r="C6" s="139"/>
      <c r="D6" s="139"/>
      <c r="E6" s="140"/>
      <c r="F6" s="140"/>
      <c r="G6" s="140"/>
      <c r="H6" s="140"/>
      <c r="I6" s="140"/>
      <c r="J6" s="140"/>
      <c r="K6" s="140"/>
      <c r="L6" s="140"/>
      <c r="M6" s="140"/>
      <c r="N6" s="140"/>
      <c r="O6" s="140"/>
      <c r="P6" s="140"/>
      <c r="Q6" s="140"/>
      <c r="R6" s="140"/>
      <c r="S6" s="140"/>
      <c r="T6" s="140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2"/>
      <c r="AF6" s="135"/>
      <c r="AG6" s="125"/>
      <c r="AH6" s="125"/>
      <c r="AI6" s="125"/>
      <c r="AJ6" s="125"/>
      <c r="AK6" s="125"/>
      <c r="AL6" s="125"/>
    </row>
    <row r="7">
      <c r="A7" s="128">
        <v>1.0</v>
      </c>
      <c r="B7" s="143" t="s">
        <v>162</v>
      </c>
      <c r="C7" s="130" t="s">
        <v>163</v>
      </c>
      <c r="D7" s="128">
        <v>7.0</v>
      </c>
      <c r="E7" s="132">
        <f>+E4+(D7*7)</f>
        <v>45518</v>
      </c>
      <c r="F7" s="132"/>
      <c r="G7" s="132">
        <f>+E7+(4*7)</f>
        <v>45546</v>
      </c>
      <c r="H7" s="132"/>
      <c r="I7" s="132">
        <f>+G7+(4*7)</f>
        <v>45574</v>
      </c>
      <c r="J7" s="132"/>
      <c r="K7" s="132">
        <f>+I7+(4*7)</f>
        <v>45602</v>
      </c>
      <c r="L7" s="132"/>
      <c r="M7" s="132">
        <f>+K7+(4*7)</f>
        <v>45630</v>
      </c>
      <c r="N7" s="144"/>
      <c r="O7" s="132">
        <f>+M7+(4*7)</f>
        <v>45658</v>
      </c>
      <c r="P7" s="132"/>
      <c r="Q7" s="144">
        <f t="shared" ref="Q7:Q18" si="1">+E7</f>
        <v>45518</v>
      </c>
      <c r="R7" s="144"/>
      <c r="S7" s="144">
        <f t="shared" ref="S7:S18" si="2">+E7</f>
        <v>45518</v>
      </c>
      <c r="T7" s="144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4"/>
      <c r="AF7" s="135"/>
      <c r="AG7" s="125"/>
      <c r="AH7" s="125"/>
      <c r="AI7" s="125"/>
      <c r="AJ7" s="125"/>
      <c r="AK7" s="125"/>
      <c r="AL7" s="125"/>
    </row>
    <row r="8">
      <c r="A8" s="128"/>
      <c r="B8" s="54"/>
      <c r="C8" s="130" t="s">
        <v>164</v>
      </c>
      <c r="D8" s="128">
        <v>2.0</v>
      </c>
      <c r="E8" s="132">
        <f>+E7+(D8*7)</f>
        <v>45532</v>
      </c>
      <c r="F8" s="144"/>
      <c r="G8" s="132">
        <f>+G7+(D8*7)</f>
        <v>45560</v>
      </c>
      <c r="H8" s="132"/>
      <c r="I8" s="132">
        <f>+I7+(D8*7)</f>
        <v>45588</v>
      </c>
      <c r="J8" s="132"/>
      <c r="K8" s="132">
        <f>+K7+(D8*7)</f>
        <v>45616</v>
      </c>
      <c r="L8" s="132"/>
      <c r="M8" s="132">
        <f>+M7+(D8*7)</f>
        <v>45644</v>
      </c>
      <c r="N8" s="144"/>
      <c r="O8" s="132">
        <f>+O7+(D8*7)</f>
        <v>45672</v>
      </c>
      <c r="P8" s="132"/>
      <c r="Q8" s="144">
        <f t="shared" si="1"/>
        <v>45532</v>
      </c>
      <c r="R8" s="144"/>
      <c r="S8" s="144">
        <f t="shared" si="2"/>
        <v>45532</v>
      </c>
      <c r="T8" s="144"/>
      <c r="U8" s="133"/>
      <c r="V8" s="145"/>
      <c r="W8" s="133"/>
      <c r="X8" s="133"/>
      <c r="Y8" s="133"/>
      <c r="Z8" s="133"/>
      <c r="AA8" s="133"/>
      <c r="AB8" s="133"/>
      <c r="AC8" s="133"/>
      <c r="AD8" s="133"/>
      <c r="AE8" s="146"/>
      <c r="AF8" s="135"/>
      <c r="AG8" s="125"/>
      <c r="AH8" s="125"/>
      <c r="AI8" s="125"/>
      <c r="AJ8" s="125"/>
      <c r="AK8" s="125"/>
      <c r="AL8" s="125"/>
    </row>
    <row r="9">
      <c r="A9" s="128"/>
      <c r="B9" s="54"/>
      <c r="C9" s="130" t="s">
        <v>165</v>
      </c>
      <c r="D9" s="128">
        <v>4.0</v>
      </c>
      <c r="E9" s="132">
        <f>E7+(D9*7)</f>
        <v>45546</v>
      </c>
      <c r="F9" s="132"/>
      <c r="G9" s="132">
        <f>G7+(D9*7)</f>
        <v>45574</v>
      </c>
      <c r="H9" s="132"/>
      <c r="I9" s="132">
        <f>I7+(D9*7)</f>
        <v>45602</v>
      </c>
      <c r="J9" s="132"/>
      <c r="K9" s="132">
        <f>K7+(D9*7)</f>
        <v>45630</v>
      </c>
      <c r="L9" s="132"/>
      <c r="M9" s="132">
        <f>M7+(D9*7)</f>
        <v>45658</v>
      </c>
      <c r="N9" s="147"/>
      <c r="O9" s="132">
        <f>O7+(D9*7)</f>
        <v>45686</v>
      </c>
      <c r="P9" s="132"/>
      <c r="Q9" s="144">
        <f t="shared" si="1"/>
        <v>45546</v>
      </c>
      <c r="R9" s="147"/>
      <c r="S9" s="144">
        <f t="shared" si="2"/>
        <v>45546</v>
      </c>
      <c r="T9" s="147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46"/>
      <c r="AF9" s="135"/>
      <c r="AG9" s="125"/>
      <c r="AH9" s="125"/>
      <c r="AI9" s="125"/>
      <c r="AJ9" s="125"/>
      <c r="AK9" s="125"/>
      <c r="AL9" s="125"/>
    </row>
    <row r="10">
      <c r="A10" s="128">
        <v>1.0</v>
      </c>
      <c r="B10" s="59"/>
      <c r="C10" s="130" t="s">
        <v>166</v>
      </c>
      <c r="D10" s="148">
        <v>5.0</v>
      </c>
      <c r="E10" s="149">
        <f>+E7+(D10*7)</f>
        <v>45553</v>
      </c>
      <c r="F10" s="149"/>
      <c r="G10" s="149">
        <f>+G7+(D10*7)</f>
        <v>45581</v>
      </c>
      <c r="H10" s="149"/>
      <c r="I10" s="149">
        <f>+I7+(D10*7)</f>
        <v>45609</v>
      </c>
      <c r="J10" s="149"/>
      <c r="K10" s="149">
        <f>+K7+(D10*7)</f>
        <v>45637</v>
      </c>
      <c r="L10" s="149"/>
      <c r="M10" s="149">
        <f>+M7+(D10*7)</f>
        <v>45665</v>
      </c>
      <c r="N10" s="149"/>
      <c r="O10" s="149">
        <f>+O7+(D10*7)</f>
        <v>45693</v>
      </c>
      <c r="P10" s="132"/>
      <c r="Q10" s="144">
        <f t="shared" si="1"/>
        <v>45553</v>
      </c>
      <c r="R10" s="132"/>
      <c r="S10" s="144">
        <f t="shared" si="2"/>
        <v>45553</v>
      </c>
      <c r="T10" s="132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9"/>
      <c r="AF10" s="135"/>
      <c r="AG10" s="125"/>
      <c r="AH10" s="125"/>
      <c r="AI10" s="125"/>
      <c r="AJ10" s="125"/>
      <c r="AK10" s="125"/>
      <c r="AL10" s="125"/>
    </row>
    <row r="11">
      <c r="A11" s="128">
        <v>1.0</v>
      </c>
      <c r="B11" s="143" t="s">
        <v>167</v>
      </c>
      <c r="C11" s="130" t="s">
        <v>163</v>
      </c>
      <c r="D11" s="148">
        <v>3.0</v>
      </c>
      <c r="E11" s="132">
        <f t="shared" ref="E11:E12" si="3">+E10+(D11*7)</f>
        <v>45574</v>
      </c>
      <c r="F11" s="144"/>
      <c r="G11" s="132">
        <f t="shared" ref="G11:G12" si="4">+G10+(D11*7)</f>
        <v>45602</v>
      </c>
      <c r="H11" s="132"/>
      <c r="I11" s="132">
        <f t="shared" ref="I11:I12" si="5">+I10+(D11*7)</f>
        <v>45630</v>
      </c>
      <c r="J11" s="132"/>
      <c r="K11" s="132">
        <f t="shared" ref="K11:K12" si="6">+K10+(D11*7)</f>
        <v>45658</v>
      </c>
      <c r="L11" s="132"/>
      <c r="M11" s="132">
        <f t="shared" ref="M11:M12" si="7">+M10+(D11*7)</f>
        <v>45686</v>
      </c>
      <c r="N11" s="144"/>
      <c r="O11" s="132">
        <f t="shared" ref="O11:O12" si="8">+O10+(D11*7)</f>
        <v>45714</v>
      </c>
      <c r="P11" s="144"/>
      <c r="Q11" s="144">
        <f t="shared" si="1"/>
        <v>45574</v>
      </c>
      <c r="R11" s="144"/>
      <c r="S11" s="144">
        <f t="shared" si="2"/>
        <v>45574</v>
      </c>
      <c r="T11" s="144"/>
      <c r="U11" s="133"/>
      <c r="V11" s="145"/>
      <c r="W11" s="133"/>
      <c r="X11" s="133"/>
      <c r="Y11" s="133"/>
      <c r="Z11" s="133"/>
      <c r="AA11" s="133"/>
      <c r="AB11" s="133"/>
      <c r="AC11" s="133"/>
      <c r="AD11" s="133"/>
      <c r="AE11" s="134"/>
      <c r="AF11" s="135"/>
      <c r="AG11" s="125"/>
      <c r="AH11" s="125"/>
      <c r="AI11" s="125"/>
      <c r="AJ11" s="125"/>
      <c r="AK11" s="125"/>
      <c r="AL11" s="125"/>
    </row>
    <row r="12">
      <c r="A12" s="128"/>
      <c r="B12" s="54"/>
      <c r="C12" s="130" t="s">
        <v>164</v>
      </c>
      <c r="D12" s="148">
        <v>2.0</v>
      </c>
      <c r="E12" s="132">
        <f t="shared" si="3"/>
        <v>45588</v>
      </c>
      <c r="F12" s="144"/>
      <c r="G12" s="132">
        <f t="shared" si="4"/>
        <v>45616</v>
      </c>
      <c r="H12" s="132"/>
      <c r="I12" s="132">
        <f t="shared" si="5"/>
        <v>45644</v>
      </c>
      <c r="J12" s="132"/>
      <c r="K12" s="132">
        <f t="shared" si="6"/>
        <v>45672</v>
      </c>
      <c r="L12" s="132"/>
      <c r="M12" s="132">
        <f t="shared" si="7"/>
        <v>45700</v>
      </c>
      <c r="N12" s="144"/>
      <c r="O12" s="132">
        <f t="shared" si="8"/>
        <v>45728</v>
      </c>
      <c r="P12" s="144"/>
      <c r="Q12" s="144">
        <f t="shared" si="1"/>
        <v>45588</v>
      </c>
      <c r="R12" s="144"/>
      <c r="S12" s="144">
        <f t="shared" si="2"/>
        <v>45588</v>
      </c>
      <c r="T12" s="144"/>
      <c r="U12" s="145"/>
      <c r="V12" s="145"/>
      <c r="W12" s="133"/>
      <c r="X12" s="133"/>
      <c r="Y12" s="133"/>
      <c r="Z12" s="133"/>
      <c r="AA12" s="133"/>
      <c r="AB12" s="133"/>
      <c r="AC12" s="133"/>
      <c r="AD12" s="133"/>
      <c r="AE12" s="146"/>
      <c r="AF12" s="135"/>
      <c r="AG12" s="125"/>
      <c r="AH12" s="125"/>
      <c r="AI12" s="125"/>
      <c r="AJ12" s="125"/>
      <c r="AK12" s="125"/>
      <c r="AL12" s="125"/>
    </row>
    <row r="13">
      <c r="A13" s="128"/>
      <c r="B13" s="54"/>
      <c r="C13" s="130" t="s">
        <v>165</v>
      </c>
      <c r="D13" s="148">
        <v>3.0</v>
      </c>
      <c r="E13" s="132">
        <f>E11+(D13*7)</f>
        <v>45595</v>
      </c>
      <c r="F13" s="144"/>
      <c r="G13" s="132">
        <f>G11+(D13*7)</f>
        <v>45623</v>
      </c>
      <c r="H13" s="132"/>
      <c r="I13" s="132">
        <f>I11+(D13*7)</f>
        <v>45651</v>
      </c>
      <c r="J13" s="132"/>
      <c r="K13" s="132">
        <f>K11+(D13*7)</f>
        <v>45679</v>
      </c>
      <c r="L13" s="132"/>
      <c r="M13" s="132">
        <f>M11+(D13*7)</f>
        <v>45707</v>
      </c>
      <c r="N13" s="147"/>
      <c r="O13" s="132">
        <f>O11+(D13*7)</f>
        <v>45735</v>
      </c>
      <c r="P13" s="144"/>
      <c r="Q13" s="144">
        <f t="shared" si="1"/>
        <v>45595</v>
      </c>
      <c r="R13" s="147"/>
      <c r="S13" s="144">
        <f t="shared" si="2"/>
        <v>45595</v>
      </c>
      <c r="T13" s="147"/>
      <c r="U13" s="145"/>
      <c r="V13" s="145"/>
      <c r="W13" s="133"/>
      <c r="X13" s="133"/>
      <c r="Y13" s="133"/>
      <c r="Z13" s="133"/>
      <c r="AA13" s="133"/>
      <c r="AB13" s="133"/>
      <c r="AC13" s="133"/>
      <c r="AD13" s="133"/>
      <c r="AE13" s="146"/>
      <c r="AF13" s="135"/>
      <c r="AG13" s="125"/>
      <c r="AH13" s="125"/>
      <c r="AI13" s="125"/>
      <c r="AJ13" s="125"/>
      <c r="AK13" s="125"/>
      <c r="AL13" s="125"/>
    </row>
    <row r="14">
      <c r="A14" s="128">
        <v>1.0</v>
      </c>
      <c r="B14" s="59"/>
      <c r="C14" s="130" t="s">
        <v>166</v>
      </c>
      <c r="D14" s="150">
        <v>4.0</v>
      </c>
      <c r="E14" s="132">
        <f>+E11+(D14*7)</f>
        <v>45602</v>
      </c>
      <c r="F14" s="132"/>
      <c r="G14" s="132">
        <f>+G11+(D14*7)</f>
        <v>45630</v>
      </c>
      <c r="H14" s="132"/>
      <c r="I14" s="132">
        <f>+I11+(D14*7)</f>
        <v>45658</v>
      </c>
      <c r="J14" s="132"/>
      <c r="K14" s="132">
        <f>+K11+(D14*7)</f>
        <v>45686</v>
      </c>
      <c r="L14" s="132"/>
      <c r="M14" s="132">
        <f>+M11+(D14*7)</f>
        <v>45714</v>
      </c>
      <c r="N14" s="132"/>
      <c r="O14" s="132">
        <f>+O11+(D14*7)</f>
        <v>45742</v>
      </c>
      <c r="P14" s="132"/>
      <c r="Q14" s="144">
        <f t="shared" si="1"/>
        <v>45602</v>
      </c>
      <c r="R14" s="132"/>
      <c r="S14" s="144">
        <f t="shared" si="2"/>
        <v>45602</v>
      </c>
      <c r="T14" s="132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9"/>
      <c r="AF14" s="135"/>
      <c r="AG14" s="125"/>
      <c r="AH14" s="125"/>
      <c r="AI14" s="125"/>
      <c r="AJ14" s="125"/>
      <c r="AK14" s="125"/>
      <c r="AL14" s="125"/>
    </row>
    <row r="15">
      <c r="A15" s="128">
        <v>1.0</v>
      </c>
      <c r="B15" s="143" t="s">
        <v>168</v>
      </c>
      <c r="C15" s="130" t="s">
        <v>163</v>
      </c>
      <c r="D15" s="128">
        <v>4.0</v>
      </c>
      <c r="E15" s="132">
        <f t="shared" ref="E15:E16" si="9">+E14+(D15*7)</f>
        <v>45630</v>
      </c>
      <c r="F15" s="144"/>
      <c r="G15" s="132">
        <f t="shared" ref="G15:G16" si="10">+G14+(D15*7)</f>
        <v>45658</v>
      </c>
      <c r="H15" s="132"/>
      <c r="I15" s="132">
        <f t="shared" ref="I15:I16" si="11">+I14+(D15*7)</f>
        <v>45686</v>
      </c>
      <c r="J15" s="132"/>
      <c r="K15" s="132">
        <f t="shared" ref="K15:K16" si="12">+K14+(D15*7)</f>
        <v>45714</v>
      </c>
      <c r="L15" s="144"/>
      <c r="M15" s="132">
        <f t="shared" ref="M15:M16" si="13">+M14+(D15*7)</f>
        <v>45742</v>
      </c>
      <c r="N15" s="144"/>
      <c r="O15" s="132">
        <f t="shared" ref="O15:O16" si="14">+O14+(D15*7)</f>
        <v>45770</v>
      </c>
      <c r="P15" s="144"/>
      <c r="Q15" s="144">
        <f t="shared" si="1"/>
        <v>45630</v>
      </c>
      <c r="R15" s="144"/>
      <c r="S15" s="144">
        <f t="shared" si="2"/>
        <v>45630</v>
      </c>
      <c r="T15" s="144"/>
      <c r="U15" s="145"/>
      <c r="V15" s="145"/>
      <c r="W15" s="133"/>
      <c r="X15" s="133"/>
      <c r="Y15" s="133"/>
      <c r="Z15" s="133"/>
      <c r="AA15" s="133"/>
      <c r="AB15" s="133"/>
      <c r="AC15" s="133"/>
      <c r="AD15" s="133"/>
      <c r="AE15" s="134"/>
      <c r="AF15" s="135"/>
      <c r="AG15" s="125"/>
      <c r="AH15" s="125"/>
      <c r="AI15" s="125"/>
      <c r="AJ15" s="125"/>
      <c r="AK15" s="125"/>
      <c r="AL15" s="125"/>
    </row>
    <row r="16">
      <c r="A16" s="128"/>
      <c r="B16" s="54"/>
      <c r="C16" s="130" t="s">
        <v>164</v>
      </c>
      <c r="D16" s="128">
        <v>2.0</v>
      </c>
      <c r="E16" s="132">
        <f t="shared" si="9"/>
        <v>45644</v>
      </c>
      <c r="F16" s="144"/>
      <c r="G16" s="132">
        <f t="shared" si="10"/>
        <v>45672</v>
      </c>
      <c r="H16" s="132"/>
      <c r="I16" s="132">
        <f t="shared" si="11"/>
        <v>45700</v>
      </c>
      <c r="J16" s="132"/>
      <c r="K16" s="132">
        <f t="shared" si="12"/>
        <v>45728</v>
      </c>
      <c r="L16" s="144"/>
      <c r="M16" s="132">
        <f t="shared" si="13"/>
        <v>45756</v>
      </c>
      <c r="N16" s="144"/>
      <c r="O16" s="132">
        <f t="shared" si="14"/>
        <v>45784</v>
      </c>
      <c r="P16" s="144"/>
      <c r="Q16" s="144">
        <f t="shared" si="1"/>
        <v>45644</v>
      </c>
      <c r="R16" s="144"/>
      <c r="S16" s="144">
        <f t="shared" si="2"/>
        <v>45644</v>
      </c>
      <c r="T16" s="144"/>
      <c r="U16" s="133"/>
      <c r="V16" s="145"/>
      <c r="W16" s="133"/>
      <c r="X16" s="133"/>
      <c r="Y16" s="133"/>
      <c r="Z16" s="133"/>
      <c r="AA16" s="133"/>
      <c r="AB16" s="133"/>
      <c r="AC16" s="133"/>
      <c r="AD16" s="133"/>
      <c r="AE16" s="146"/>
      <c r="AF16" s="135"/>
      <c r="AG16" s="125"/>
      <c r="AH16" s="125"/>
      <c r="AI16" s="125"/>
      <c r="AJ16" s="125"/>
      <c r="AK16" s="125"/>
      <c r="AL16" s="125"/>
    </row>
    <row r="17">
      <c r="A17" s="128"/>
      <c r="B17" s="54"/>
      <c r="C17" s="130" t="s">
        <v>165</v>
      </c>
      <c r="D17" s="128">
        <v>6.0</v>
      </c>
      <c r="E17" s="132">
        <f>E15+(D17*7)</f>
        <v>45672</v>
      </c>
      <c r="F17" s="144"/>
      <c r="G17" s="132">
        <f>G15+(D17*7)</f>
        <v>45700</v>
      </c>
      <c r="H17" s="132"/>
      <c r="I17" s="132">
        <f>I15+(D17*7)</f>
        <v>45728</v>
      </c>
      <c r="J17" s="132"/>
      <c r="K17" s="132">
        <f>K15+(D17*7)</f>
        <v>45756</v>
      </c>
      <c r="L17" s="144"/>
      <c r="M17" s="132">
        <f>M15+(D17*7)</f>
        <v>45784</v>
      </c>
      <c r="N17" s="147"/>
      <c r="O17" s="132">
        <f>O15+(D17*7)</f>
        <v>45812</v>
      </c>
      <c r="P17" s="144"/>
      <c r="Q17" s="144">
        <f t="shared" si="1"/>
        <v>45672</v>
      </c>
      <c r="R17" s="147"/>
      <c r="S17" s="144">
        <f t="shared" si="2"/>
        <v>45672</v>
      </c>
      <c r="T17" s="147"/>
      <c r="U17" s="133"/>
      <c r="V17" s="145"/>
      <c r="W17" s="133"/>
      <c r="X17" s="133"/>
      <c r="Y17" s="133"/>
      <c r="Z17" s="133"/>
      <c r="AA17" s="133"/>
      <c r="AB17" s="133"/>
      <c r="AC17" s="133"/>
      <c r="AD17" s="133"/>
      <c r="AE17" s="146"/>
      <c r="AF17" s="135"/>
      <c r="AG17" s="125"/>
      <c r="AH17" s="125"/>
      <c r="AI17" s="125"/>
      <c r="AJ17" s="125"/>
      <c r="AK17" s="125"/>
      <c r="AL17" s="125"/>
    </row>
    <row r="18">
      <c r="A18" s="128">
        <v>1.0</v>
      </c>
      <c r="B18" s="59"/>
      <c r="C18" s="130" t="s">
        <v>166</v>
      </c>
      <c r="D18" s="148">
        <v>7.0</v>
      </c>
      <c r="E18" s="132">
        <f>+E15+(D18*7)</f>
        <v>45679</v>
      </c>
      <c r="F18" s="132"/>
      <c r="G18" s="132">
        <f>+G15+(D18*7)</f>
        <v>45707</v>
      </c>
      <c r="H18" s="132"/>
      <c r="I18" s="132">
        <f>+I15+(D18*7)</f>
        <v>45735</v>
      </c>
      <c r="J18" s="132"/>
      <c r="K18" s="132">
        <f>+K15+(D18*7)</f>
        <v>45763</v>
      </c>
      <c r="L18" s="132"/>
      <c r="M18" s="132">
        <f>+M15+(D18*7)</f>
        <v>45791</v>
      </c>
      <c r="N18" s="132"/>
      <c r="O18" s="132">
        <f>+O15+(D18*7)</f>
        <v>45819</v>
      </c>
      <c r="P18" s="132"/>
      <c r="Q18" s="144">
        <f t="shared" si="1"/>
        <v>45679</v>
      </c>
      <c r="R18" s="132"/>
      <c r="S18" s="144">
        <f t="shared" si="2"/>
        <v>45679</v>
      </c>
      <c r="T18" s="132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9"/>
      <c r="AF18" s="135"/>
      <c r="AG18" s="125"/>
      <c r="AH18" s="125"/>
      <c r="AI18" s="125"/>
      <c r="AJ18" s="125"/>
      <c r="AK18" s="125"/>
      <c r="AL18" s="125"/>
    </row>
    <row r="19">
      <c r="A19" s="138" t="s">
        <v>169</v>
      </c>
      <c r="B19" s="139" t="s">
        <v>4</v>
      </c>
      <c r="C19" s="139"/>
      <c r="D19" s="139"/>
      <c r="E19" s="140"/>
      <c r="F19" s="140"/>
      <c r="G19" s="151"/>
      <c r="H19" s="151"/>
      <c r="I19" s="152"/>
      <c r="J19" s="152"/>
      <c r="K19" s="152"/>
      <c r="L19" s="140"/>
      <c r="M19" s="153"/>
      <c r="N19" s="140"/>
      <c r="O19" s="152"/>
      <c r="P19" s="140"/>
      <c r="Q19" s="140"/>
      <c r="R19" s="140"/>
      <c r="S19" s="140"/>
      <c r="T19" s="140"/>
      <c r="U19" s="141"/>
      <c r="V19" s="141"/>
      <c r="W19" s="133"/>
      <c r="X19" s="133"/>
      <c r="Y19" s="145"/>
      <c r="Z19" s="145"/>
      <c r="AA19" s="145"/>
      <c r="AB19" s="145"/>
      <c r="AC19" s="145"/>
      <c r="AD19" s="145"/>
      <c r="AE19" s="142"/>
      <c r="AF19" s="135"/>
      <c r="AG19" s="125"/>
      <c r="AH19" s="125"/>
      <c r="AI19" s="125"/>
      <c r="AJ19" s="125"/>
      <c r="AK19" s="125"/>
      <c r="AL19" s="125"/>
    </row>
    <row r="20">
      <c r="A20" s="128">
        <v>1.0</v>
      </c>
      <c r="B20" s="130" t="s">
        <v>170</v>
      </c>
      <c r="C20" s="130" t="s">
        <v>164</v>
      </c>
      <c r="D20" s="131"/>
      <c r="E20" s="132"/>
      <c r="F20" s="132"/>
      <c r="G20" s="132"/>
      <c r="H20" s="132"/>
      <c r="I20" s="132"/>
      <c r="J20" s="132"/>
      <c r="K20" s="132"/>
      <c r="L20" s="154"/>
      <c r="M20" s="154"/>
      <c r="N20" s="154"/>
      <c r="O20" s="132"/>
      <c r="P20" s="154"/>
      <c r="Q20" s="154"/>
      <c r="R20" s="154"/>
      <c r="S20" s="154"/>
      <c r="T20" s="154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4"/>
      <c r="AF20" s="135"/>
      <c r="AG20" s="125"/>
      <c r="AH20" s="125"/>
      <c r="AI20" s="125"/>
      <c r="AJ20" s="125"/>
      <c r="AK20" s="125"/>
      <c r="AL20" s="125"/>
    </row>
    <row r="21" ht="15.75" customHeight="1">
      <c r="A21" s="155">
        <v>2.0</v>
      </c>
      <c r="B21" s="156" t="s">
        <v>41</v>
      </c>
      <c r="C21" s="156" t="s">
        <v>164</v>
      </c>
      <c r="D21" s="157"/>
      <c r="E21" s="154"/>
      <c r="F21" s="154"/>
      <c r="G21" s="154"/>
      <c r="H21" s="158"/>
      <c r="I21" s="154"/>
      <c r="J21" s="154"/>
      <c r="K21" s="154"/>
      <c r="L21" s="154"/>
      <c r="M21" s="154"/>
      <c r="N21" s="154"/>
      <c r="O21" s="154"/>
      <c r="P21" s="154"/>
      <c r="Q21" s="154"/>
      <c r="R21" s="154"/>
      <c r="S21" s="154"/>
      <c r="T21" s="154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59"/>
      <c r="AF21" s="160"/>
      <c r="AG21" s="161"/>
      <c r="AH21" s="161"/>
      <c r="AI21" s="161"/>
      <c r="AJ21" s="161"/>
      <c r="AK21" s="161"/>
      <c r="AL21" s="161"/>
    </row>
    <row r="22" ht="15.75" customHeight="1">
      <c r="A22" s="155">
        <v>3.0</v>
      </c>
      <c r="B22" s="156" t="s">
        <v>171</v>
      </c>
      <c r="C22" s="156" t="s">
        <v>164</v>
      </c>
      <c r="D22" s="157"/>
      <c r="E22" s="154"/>
      <c r="F22" s="154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  <c r="R22" s="154"/>
      <c r="S22" s="154"/>
      <c r="T22" s="154"/>
      <c r="U22" s="133"/>
      <c r="V22" s="133"/>
      <c r="W22" s="133"/>
      <c r="X22" s="133"/>
      <c r="Y22" s="133"/>
      <c r="Z22" s="133"/>
      <c r="AA22" s="133"/>
      <c r="AB22" s="133"/>
      <c r="AC22" s="133"/>
      <c r="AD22" s="133"/>
      <c r="AE22" s="159"/>
      <c r="AF22" s="160"/>
      <c r="AG22" s="161"/>
      <c r="AH22" s="161"/>
      <c r="AI22" s="161"/>
      <c r="AJ22" s="161"/>
      <c r="AK22" s="161"/>
      <c r="AL22" s="161"/>
    </row>
    <row r="23" ht="15.75" customHeight="1">
      <c r="A23" s="155">
        <v>4.0</v>
      </c>
      <c r="B23" s="156" t="s">
        <v>172</v>
      </c>
      <c r="C23" s="156" t="s">
        <v>164</v>
      </c>
      <c r="D23" s="157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59"/>
      <c r="AF23" s="160"/>
      <c r="AG23" s="161"/>
      <c r="AH23" s="161"/>
      <c r="AI23" s="161"/>
      <c r="AJ23" s="161"/>
      <c r="AK23" s="161"/>
      <c r="AL23" s="161"/>
    </row>
    <row r="24" ht="15.75" customHeight="1">
      <c r="A24" s="128">
        <v>5.0</v>
      </c>
      <c r="B24" s="156" t="s">
        <v>173</v>
      </c>
      <c r="C24" s="156" t="s">
        <v>165</v>
      </c>
      <c r="D24" s="155">
        <v>4.0</v>
      </c>
      <c r="E24" s="154">
        <f>+E12+(D24*7)</f>
        <v>45616</v>
      </c>
      <c r="F24" s="154"/>
      <c r="G24" s="154">
        <f>+G12+(D24*7)</f>
        <v>45644</v>
      </c>
      <c r="H24" s="154"/>
      <c r="I24" s="154">
        <f>+I12+(D24*7)</f>
        <v>45672</v>
      </c>
      <c r="J24" s="154"/>
      <c r="K24" s="154">
        <f>+K12+(D24*7)</f>
        <v>45700</v>
      </c>
      <c r="L24" s="154"/>
      <c r="M24" s="154">
        <f>+M12+(D24*7)</f>
        <v>45728</v>
      </c>
      <c r="N24" s="154"/>
      <c r="O24" s="154">
        <f>+O12+(D24*7)</f>
        <v>45756</v>
      </c>
      <c r="P24" s="154"/>
      <c r="Q24" s="154">
        <f t="shared" ref="Q24:Q44" si="15">+E24</f>
        <v>45616</v>
      </c>
      <c r="R24" s="154"/>
      <c r="S24" s="154">
        <f t="shared" ref="S24:S44" si="16">+E24</f>
        <v>45616</v>
      </c>
      <c r="T24" s="154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62"/>
      <c r="AF24" s="160"/>
      <c r="AG24" s="161"/>
      <c r="AH24" s="161"/>
      <c r="AI24" s="161"/>
      <c r="AJ24" s="161"/>
      <c r="AK24" s="161"/>
      <c r="AL24" s="161"/>
    </row>
    <row r="25" ht="15.75" customHeight="1">
      <c r="A25" s="155">
        <v>6.0</v>
      </c>
      <c r="B25" s="163" t="s">
        <v>174</v>
      </c>
      <c r="C25" s="156" t="s">
        <v>165</v>
      </c>
      <c r="D25" s="155">
        <v>6.0</v>
      </c>
      <c r="E25" s="154">
        <f>+E15+(D25*7)</f>
        <v>45672</v>
      </c>
      <c r="F25" s="154"/>
      <c r="G25" s="154">
        <f>+G15+(D25*7)</f>
        <v>45700</v>
      </c>
      <c r="H25" s="154"/>
      <c r="I25" s="154">
        <f>+I15+(D25*7)</f>
        <v>45728</v>
      </c>
      <c r="J25" s="154"/>
      <c r="K25" s="154">
        <f>+K15+(D25*7)</f>
        <v>45756</v>
      </c>
      <c r="L25" s="154"/>
      <c r="M25" s="154">
        <f>+M15+(D25*7)</f>
        <v>45784</v>
      </c>
      <c r="N25" s="154"/>
      <c r="O25" s="154">
        <f>+O15+(D25*7)</f>
        <v>45812</v>
      </c>
      <c r="P25" s="154"/>
      <c r="Q25" s="154">
        <f t="shared" si="15"/>
        <v>45672</v>
      </c>
      <c r="R25" s="154"/>
      <c r="S25" s="154">
        <f t="shared" si="16"/>
        <v>45672</v>
      </c>
      <c r="T25" s="154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62"/>
      <c r="AF25" s="164"/>
      <c r="AG25" s="161"/>
      <c r="AH25" s="161"/>
      <c r="AI25" s="161"/>
      <c r="AJ25" s="161"/>
      <c r="AK25" s="161"/>
      <c r="AL25" s="161"/>
    </row>
    <row r="26" ht="15.75" customHeight="1">
      <c r="A26" s="155">
        <v>7.0</v>
      </c>
      <c r="B26" s="165" t="s">
        <v>175</v>
      </c>
      <c r="C26" s="156" t="s">
        <v>165</v>
      </c>
      <c r="D26" s="155">
        <v>7.0</v>
      </c>
      <c r="E26" s="154">
        <f t="shared" ref="E26:E44" si="17">$E$18+(D26*7)</f>
        <v>45728</v>
      </c>
      <c r="F26" s="154"/>
      <c r="G26" s="154">
        <f t="shared" ref="G26:G44" si="18">$G$18+(D26*7)</f>
        <v>45756</v>
      </c>
      <c r="H26" s="154"/>
      <c r="I26" s="154">
        <f t="shared" ref="I26:I43" si="19">$I$18+(D26*7)</f>
        <v>45784</v>
      </c>
      <c r="J26" s="154"/>
      <c r="K26" s="154">
        <f t="shared" ref="K26:K43" si="20">$K$18+(D26*7)</f>
        <v>45812</v>
      </c>
      <c r="L26" s="154"/>
      <c r="M26" s="154">
        <f t="shared" ref="M26:M43" si="21">$M$18+(D26*7)</f>
        <v>45840</v>
      </c>
      <c r="N26" s="154"/>
      <c r="O26" s="154">
        <f t="shared" ref="O26:O43" si="22">$M$18+(D26*7)</f>
        <v>45840</v>
      </c>
      <c r="P26" s="154"/>
      <c r="Q26" s="154">
        <f t="shared" si="15"/>
        <v>45728</v>
      </c>
      <c r="R26" s="154"/>
      <c r="S26" s="154">
        <f t="shared" si="16"/>
        <v>45728</v>
      </c>
      <c r="T26" s="154"/>
      <c r="U26" s="166"/>
      <c r="V26" s="133"/>
      <c r="W26" s="133"/>
      <c r="X26" s="133"/>
      <c r="Y26" s="133"/>
      <c r="Z26" s="133"/>
      <c r="AA26" s="133"/>
      <c r="AB26" s="133"/>
      <c r="AC26" s="133"/>
      <c r="AD26" s="133"/>
      <c r="AE26" s="159"/>
      <c r="AF26" s="160"/>
      <c r="AG26" s="161"/>
      <c r="AH26" s="161"/>
      <c r="AI26" s="161"/>
      <c r="AJ26" s="161"/>
      <c r="AK26" s="161"/>
      <c r="AL26" s="161"/>
    </row>
    <row r="27" ht="15.75" customHeight="1">
      <c r="A27" s="155">
        <v>8.0</v>
      </c>
      <c r="B27" s="165" t="s">
        <v>176</v>
      </c>
      <c r="C27" s="156" t="s">
        <v>165</v>
      </c>
      <c r="D27" s="155">
        <v>6.0</v>
      </c>
      <c r="E27" s="154">
        <f t="shared" si="17"/>
        <v>45721</v>
      </c>
      <c r="F27" s="154"/>
      <c r="G27" s="154">
        <f t="shared" si="18"/>
        <v>45749</v>
      </c>
      <c r="H27" s="154"/>
      <c r="I27" s="154">
        <f t="shared" si="19"/>
        <v>45777</v>
      </c>
      <c r="J27" s="154"/>
      <c r="K27" s="154">
        <f t="shared" si="20"/>
        <v>45805</v>
      </c>
      <c r="L27" s="154"/>
      <c r="M27" s="154">
        <f t="shared" si="21"/>
        <v>45833</v>
      </c>
      <c r="N27" s="154"/>
      <c r="O27" s="154">
        <f t="shared" si="22"/>
        <v>45833</v>
      </c>
      <c r="P27" s="154"/>
      <c r="Q27" s="154">
        <f t="shared" si="15"/>
        <v>45721</v>
      </c>
      <c r="R27" s="154"/>
      <c r="S27" s="154">
        <f t="shared" si="16"/>
        <v>45721</v>
      </c>
      <c r="T27" s="154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59"/>
      <c r="AF27" s="160"/>
      <c r="AG27" s="161"/>
      <c r="AH27" s="161"/>
      <c r="AI27" s="161"/>
      <c r="AJ27" s="161"/>
      <c r="AK27" s="161"/>
      <c r="AL27" s="161"/>
    </row>
    <row r="28" ht="15.75" customHeight="1">
      <c r="A28" s="128">
        <v>9.0</v>
      </c>
      <c r="B28" s="165" t="s">
        <v>177</v>
      </c>
      <c r="C28" s="156" t="s">
        <v>165</v>
      </c>
      <c r="D28" s="128">
        <v>9.0</v>
      </c>
      <c r="E28" s="154">
        <f t="shared" si="17"/>
        <v>45742</v>
      </c>
      <c r="F28" s="154"/>
      <c r="G28" s="154">
        <f t="shared" si="18"/>
        <v>45770</v>
      </c>
      <c r="H28" s="154"/>
      <c r="I28" s="154">
        <f t="shared" si="19"/>
        <v>45798</v>
      </c>
      <c r="J28" s="154"/>
      <c r="K28" s="154">
        <f t="shared" si="20"/>
        <v>45826</v>
      </c>
      <c r="L28" s="154"/>
      <c r="M28" s="154">
        <f t="shared" si="21"/>
        <v>45854</v>
      </c>
      <c r="N28" s="154"/>
      <c r="O28" s="154">
        <f t="shared" si="22"/>
        <v>45854</v>
      </c>
      <c r="P28" s="154"/>
      <c r="Q28" s="154">
        <f t="shared" si="15"/>
        <v>45742</v>
      </c>
      <c r="R28" s="154"/>
      <c r="S28" s="154">
        <f t="shared" si="16"/>
        <v>45742</v>
      </c>
      <c r="T28" s="154"/>
      <c r="U28" s="133"/>
      <c r="V28" s="133"/>
      <c r="W28" s="133"/>
      <c r="X28" s="133"/>
      <c r="Y28" s="133"/>
      <c r="Z28" s="133"/>
      <c r="AA28" s="133"/>
      <c r="AB28" s="133"/>
      <c r="AC28" s="133"/>
      <c r="AD28" s="133"/>
      <c r="AE28" s="159"/>
      <c r="AF28" s="160"/>
      <c r="AG28" s="161"/>
      <c r="AH28" s="161"/>
      <c r="AI28" s="161"/>
      <c r="AJ28" s="161"/>
      <c r="AK28" s="161"/>
      <c r="AL28" s="161"/>
    </row>
    <row r="29" ht="15.75" customHeight="1">
      <c r="A29" s="155">
        <v>10.0</v>
      </c>
      <c r="B29" s="165" t="s">
        <v>178</v>
      </c>
      <c r="C29" s="156" t="s">
        <v>165</v>
      </c>
      <c r="D29" s="155">
        <v>12.0</v>
      </c>
      <c r="E29" s="154">
        <f t="shared" si="17"/>
        <v>45763</v>
      </c>
      <c r="F29" s="154"/>
      <c r="G29" s="154">
        <f t="shared" si="18"/>
        <v>45791</v>
      </c>
      <c r="H29" s="154"/>
      <c r="I29" s="154">
        <f t="shared" si="19"/>
        <v>45819</v>
      </c>
      <c r="J29" s="154"/>
      <c r="K29" s="154">
        <f t="shared" si="20"/>
        <v>45847</v>
      </c>
      <c r="L29" s="154"/>
      <c r="M29" s="154">
        <f t="shared" si="21"/>
        <v>45875</v>
      </c>
      <c r="N29" s="154"/>
      <c r="O29" s="154">
        <f t="shared" si="22"/>
        <v>45875</v>
      </c>
      <c r="P29" s="154"/>
      <c r="Q29" s="154">
        <f t="shared" si="15"/>
        <v>45763</v>
      </c>
      <c r="R29" s="154"/>
      <c r="S29" s="154">
        <f t="shared" si="16"/>
        <v>45763</v>
      </c>
      <c r="T29" s="154"/>
      <c r="U29" s="133"/>
      <c r="V29" s="133"/>
      <c r="W29" s="133"/>
      <c r="X29" s="133"/>
      <c r="Y29" s="133"/>
      <c r="Z29" s="133"/>
      <c r="AA29" s="133"/>
      <c r="AB29" s="133"/>
      <c r="AC29" s="133"/>
      <c r="AD29" s="133"/>
      <c r="AE29" s="159"/>
      <c r="AF29" s="160"/>
      <c r="AG29" s="161"/>
      <c r="AH29" s="161"/>
      <c r="AI29" s="161"/>
      <c r="AJ29" s="161"/>
      <c r="AK29" s="161"/>
      <c r="AL29" s="161"/>
    </row>
    <row r="30" ht="15.75" customHeight="1">
      <c r="A30" s="155">
        <v>11.0</v>
      </c>
      <c r="B30" s="165" t="s">
        <v>179</v>
      </c>
      <c r="C30" s="156" t="s">
        <v>165</v>
      </c>
      <c r="D30" s="128">
        <v>13.0</v>
      </c>
      <c r="E30" s="154">
        <f t="shared" si="17"/>
        <v>45770</v>
      </c>
      <c r="F30" s="154"/>
      <c r="G30" s="154">
        <f t="shared" si="18"/>
        <v>45798</v>
      </c>
      <c r="H30" s="154"/>
      <c r="I30" s="154">
        <f t="shared" si="19"/>
        <v>45826</v>
      </c>
      <c r="J30" s="154"/>
      <c r="K30" s="154">
        <f t="shared" si="20"/>
        <v>45854</v>
      </c>
      <c r="L30" s="154"/>
      <c r="M30" s="154">
        <f t="shared" si="21"/>
        <v>45882</v>
      </c>
      <c r="N30" s="154"/>
      <c r="O30" s="154">
        <f t="shared" si="22"/>
        <v>45882</v>
      </c>
      <c r="P30" s="154"/>
      <c r="Q30" s="154">
        <f t="shared" si="15"/>
        <v>45770</v>
      </c>
      <c r="R30" s="154"/>
      <c r="S30" s="154">
        <f t="shared" si="16"/>
        <v>45770</v>
      </c>
      <c r="T30" s="154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59"/>
      <c r="AF30" s="160"/>
      <c r="AG30" s="161"/>
      <c r="AH30" s="161"/>
      <c r="AI30" s="161"/>
      <c r="AJ30" s="161"/>
      <c r="AK30" s="161"/>
      <c r="AL30" s="161"/>
    </row>
    <row r="31" ht="15.75" customHeight="1">
      <c r="A31" s="155">
        <v>12.0</v>
      </c>
      <c r="B31" s="165" t="s">
        <v>180</v>
      </c>
      <c r="C31" s="156" t="s">
        <v>165</v>
      </c>
      <c r="D31" s="155">
        <v>6.0</v>
      </c>
      <c r="E31" s="154">
        <f t="shared" si="17"/>
        <v>45721</v>
      </c>
      <c r="F31" s="154"/>
      <c r="G31" s="154">
        <f t="shared" si="18"/>
        <v>45749</v>
      </c>
      <c r="H31" s="154"/>
      <c r="I31" s="154">
        <f t="shared" si="19"/>
        <v>45777</v>
      </c>
      <c r="J31" s="154"/>
      <c r="K31" s="154">
        <f t="shared" si="20"/>
        <v>45805</v>
      </c>
      <c r="L31" s="154"/>
      <c r="M31" s="154">
        <f t="shared" si="21"/>
        <v>45833</v>
      </c>
      <c r="N31" s="154"/>
      <c r="O31" s="154">
        <f t="shared" si="22"/>
        <v>45833</v>
      </c>
      <c r="P31" s="154"/>
      <c r="Q31" s="154">
        <f t="shared" si="15"/>
        <v>45721</v>
      </c>
      <c r="R31" s="154"/>
      <c r="S31" s="154">
        <f t="shared" si="16"/>
        <v>45721</v>
      </c>
      <c r="T31" s="154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59"/>
      <c r="AF31" s="167"/>
      <c r="AG31" s="161"/>
      <c r="AH31" s="161"/>
      <c r="AI31" s="161"/>
      <c r="AJ31" s="161"/>
      <c r="AK31" s="161"/>
      <c r="AL31" s="161"/>
    </row>
    <row r="32" ht="15.75" customHeight="1">
      <c r="A32" s="168">
        <v>13.0</v>
      </c>
      <c r="B32" s="169" t="s">
        <v>181</v>
      </c>
      <c r="C32" s="170" t="s">
        <v>165</v>
      </c>
      <c r="D32" s="171">
        <v>12.0</v>
      </c>
      <c r="E32" s="172">
        <f t="shared" si="17"/>
        <v>45763</v>
      </c>
      <c r="F32" s="172"/>
      <c r="G32" s="172">
        <f t="shared" si="18"/>
        <v>45791</v>
      </c>
      <c r="H32" s="172"/>
      <c r="I32" s="172">
        <f t="shared" si="19"/>
        <v>45819</v>
      </c>
      <c r="J32" s="172"/>
      <c r="K32" s="172">
        <f t="shared" si="20"/>
        <v>45847</v>
      </c>
      <c r="L32" s="172"/>
      <c r="M32" s="172">
        <f t="shared" si="21"/>
        <v>45875</v>
      </c>
      <c r="N32" s="172"/>
      <c r="O32" s="172">
        <f t="shared" si="22"/>
        <v>45875</v>
      </c>
      <c r="P32" s="172"/>
      <c r="Q32" s="172">
        <f t="shared" si="15"/>
        <v>45763</v>
      </c>
      <c r="R32" s="172"/>
      <c r="S32" s="172">
        <f t="shared" si="16"/>
        <v>45763</v>
      </c>
      <c r="T32" s="172"/>
      <c r="U32" s="173"/>
      <c r="V32" s="173"/>
      <c r="W32" s="133"/>
      <c r="X32" s="173"/>
      <c r="Y32" s="133"/>
      <c r="Z32" s="173"/>
      <c r="AA32" s="133"/>
      <c r="AB32" s="173"/>
      <c r="AC32" s="133"/>
      <c r="AD32" s="173"/>
      <c r="AE32" s="174"/>
      <c r="AF32" s="175"/>
      <c r="AG32" s="175"/>
      <c r="AH32" s="175"/>
      <c r="AI32" s="175"/>
      <c r="AJ32" s="175"/>
      <c r="AK32" s="175"/>
      <c r="AL32" s="175"/>
    </row>
    <row r="33" ht="15.75" customHeight="1">
      <c r="A33" s="155">
        <v>14.0</v>
      </c>
      <c r="B33" s="176" t="s">
        <v>182</v>
      </c>
      <c r="C33" s="156" t="s">
        <v>165</v>
      </c>
      <c r="D33" s="177">
        <v>12.0</v>
      </c>
      <c r="E33" s="154">
        <f t="shared" si="17"/>
        <v>45763</v>
      </c>
      <c r="F33" s="178"/>
      <c r="G33" s="154">
        <f t="shared" si="18"/>
        <v>45791</v>
      </c>
      <c r="H33" s="178"/>
      <c r="I33" s="154">
        <f t="shared" si="19"/>
        <v>45819</v>
      </c>
      <c r="J33" s="178"/>
      <c r="K33" s="154">
        <f t="shared" si="20"/>
        <v>45847</v>
      </c>
      <c r="L33" s="154"/>
      <c r="M33" s="154">
        <f t="shared" si="21"/>
        <v>45875</v>
      </c>
      <c r="N33" s="154"/>
      <c r="O33" s="154">
        <f t="shared" si="22"/>
        <v>45875</v>
      </c>
      <c r="P33" s="154"/>
      <c r="Q33" s="154">
        <f t="shared" si="15"/>
        <v>45763</v>
      </c>
      <c r="R33" s="154"/>
      <c r="S33" s="154">
        <f t="shared" si="16"/>
        <v>45763</v>
      </c>
      <c r="T33" s="154"/>
      <c r="U33" s="173"/>
      <c r="V33" s="173"/>
      <c r="W33" s="133"/>
      <c r="X33" s="173"/>
      <c r="Y33" s="133"/>
      <c r="Z33" s="173"/>
      <c r="AA33" s="133"/>
      <c r="AB33" s="173"/>
      <c r="AC33" s="133"/>
      <c r="AD33" s="173"/>
      <c r="AE33" s="174"/>
      <c r="AF33" s="175"/>
      <c r="AG33" s="175"/>
      <c r="AH33" s="175"/>
      <c r="AI33" s="175"/>
      <c r="AJ33" s="175"/>
      <c r="AK33" s="175"/>
      <c r="AL33" s="175"/>
    </row>
    <row r="34" ht="15.75" customHeight="1">
      <c r="A34" s="155">
        <v>15.0</v>
      </c>
      <c r="B34" s="156" t="s">
        <v>183</v>
      </c>
      <c r="C34" s="156" t="s">
        <v>165</v>
      </c>
      <c r="D34" s="128">
        <v>14.0</v>
      </c>
      <c r="E34" s="154">
        <f t="shared" si="17"/>
        <v>45777</v>
      </c>
      <c r="F34" s="154"/>
      <c r="G34" s="154">
        <f t="shared" si="18"/>
        <v>45805</v>
      </c>
      <c r="H34" s="154"/>
      <c r="I34" s="154">
        <f t="shared" si="19"/>
        <v>45833</v>
      </c>
      <c r="J34" s="154"/>
      <c r="K34" s="154">
        <f t="shared" si="20"/>
        <v>45861</v>
      </c>
      <c r="L34" s="154"/>
      <c r="M34" s="154">
        <f t="shared" si="21"/>
        <v>45889</v>
      </c>
      <c r="N34" s="154"/>
      <c r="O34" s="154">
        <f t="shared" si="22"/>
        <v>45889</v>
      </c>
      <c r="P34" s="154"/>
      <c r="Q34" s="154">
        <f t="shared" si="15"/>
        <v>45777</v>
      </c>
      <c r="R34" s="154"/>
      <c r="S34" s="154">
        <f t="shared" si="16"/>
        <v>45777</v>
      </c>
      <c r="T34" s="154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59"/>
      <c r="AF34" s="160"/>
      <c r="AG34" s="161"/>
      <c r="AH34" s="161"/>
      <c r="AI34" s="161"/>
      <c r="AJ34" s="161"/>
      <c r="AK34" s="161"/>
      <c r="AL34" s="161"/>
    </row>
    <row r="35" ht="15.75" customHeight="1">
      <c r="A35" s="155">
        <v>16.0</v>
      </c>
      <c r="B35" s="165" t="s">
        <v>184</v>
      </c>
      <c r="C35" s="156" t="s">
        <v>165</v>
      </c>
      <c r="D35" s="128">
        <v>15.0</v>
      </c>
      <c r="E35" s="154">
        <f t="shared" si="17"/>
        <v>45784</v>
      </c>
      <c r="F35" s="154"/>
      <c r="G35" s="154">
        <f t="shared" si="18"/>
        <v>45812</v>
      </c>
      <c r="H35" s="154"/>
      <c r="I35" s="154">
        <f t="shared" si="19"/>
        <v>45840</v>
      </c>
      <c r="J35" s="154"/>
      <c r="K35" s="154">
        <f t="shared" si="20"/>
        <v>45868</v>
      </c>
      <c r="L35" s="154"/>
      <c r="M35" s="154">
        <f t="shared" si="21"/>
        <v>45896</v>
      </c>
      <c r="N35" s="154"/>
      <c r="O35" s="154">
        <f t="shared" si="22"/>
        <v>45896</v>
      </c>
      <c r="P35" s="154"/>
      <c r="Q35" s="154">
        <f t="shared" si="15"/>
        <v>45784</v>
      </c>
      <c r="R35" s="154"/>
      <c r="S35" s="154">
        <f t="shared" si="16"/>
        <v>45784</v>
      </c>
      <c r="T35" s="154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59"/>
      <c r="AF35" s="160"/>
      <c r="AG35" s="161"/>
      <c r="AH35" s="161"/>
      <c r="AI35" s="161"/>
      <c r="AJ35" s="161"/>
      <c r="AK35" s="161"/>
      <c r="AL35" s="161"/>
    </row>
    <row r="36" ht="15.75" customHeight="1">
      <c r="A36" s="128">
        <v>17.0</v>
      </c>
      <c r="B36" s="176" t="s">
        <v>185</v>
      </c>
      <c r="C36" s="156" t="s">
        <v>165</v>
      </c>
      <c r="D36" s="179">
        <v>10.0</v>
      </c>
      <c r="E36" s="154">
        <f t="shared" si="17"/>
        <v>45749</v>
      </c>
      <c r="F36" s="154"/>
      <c r="G36" s="154">
        <f t="shared" si="18"/>
        <v>45777</v>
      </c>
      <c r="H36" s="154"/>
      <c r="I36" s="154">
        <f t="shared" si="19"/>
        <v>45805</v>
      </c>
      <c r="J36" s="154"/>
      <c r="K36" s="154">
        <f t="shared" si="20"/>
        <v>45833</v>
      </c>
      <c r="L36" s="154"/>
      <c r="M36" s="154">
        <f t="shared" si="21"/>
        <v>45861</v>
      </c>
      <c r="N36" s="154"/>
      <c r="O36" s="154">
        <f t="shared" si="22"/>
        <v>45861</v>
      </c>
      <c r="P36" s="154"/>
      <c r="Q36" s="154">
        <f t="shared" si="15"/>
        <v>45749</v>
      </c>
      <c r="R36" s="154"/>
      <c r="S36" s="154">
        <f t="shared" si="16"/>
        <v>45749</v>
      </c>
      <c r="T36" s="154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59"/>
      <c r="AF36" s="175"/>
      <c r="AG36" s="175"/>
      <c r="AH36" s="175"/>
      <c r="AI36" s="175"/>
      <c r="AJ36" s="175"/>
      <c r="AK36" s="175"/>
      <c r="AL36" s="175"/>
    </row>
    <row r="37" ht="15.75" customHeight="1">
      <c r="A37" s="155">
        <v>18.0</v>
      </c>
      <c r="B37" s="165" t="s">
        <v>186</v>
      </c>
      <c r="C37" s="156" t="s">
        <v>165</v>
      </c>
      <c r="D37" s="128">
        <v>14.0</v>
      </c>
      <c r="E37" s="154">
        <f t="shared" si="17"/>
        <v>45777</v>
      </c>
      <c r="F37" s="154"/>
      <c r="G37" s="154">
        <f t="shared" si="18"/>
        <v>45805</v>
      </c>
      <c r="H37" s="154"/>
      <c r="I37" s="154">
        <f t="shared" si="19"/>
        <v>45833</v>
      </c>
      <c r="J37" s="154"/>
      <c r="K37" s="154">
        <f t="shared" si="20"/>
        <v>45861</v>
      </c>
      <c r="L37" s="154"/>
      <c r="M37" s="154">
        <f t="shared" si="21"/>
        <v>45889</v>
      </c>
      <c r="N37" s="154"/>
      <c r="O37" s="154">
        <f t="shared" si="22"/>
        <v>45889</v>
      </c>
      <c r="P37" s="154"/>
      <c r="Q37" s="154">
        <f t="shared" si="15"/>
        <v>45777</v>
      </c>
      <c r="R37" s="154"/>
      <c r="S37" s="154">
        <f t="shared" si="16"/>
        <v>45777</v>
      </c>
      <c r="T37" s="154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59"/>
      <c r="AF37" s="160"/>
      <c r="AG37" s="161"/>
      <c r="AH37" s="161"/>
      <c r="AI37" s="161"/>
      <c r="AJ37" s="161"/>
      <c r="AK37" s="161"/>
      <c r="AL37" s="161"/>
    </row>
    <row r="38" ht="15.75" customHeight="1">
      <c r="A38" s="155">
        <v>19.0</v>
      </c>
      <c r="B38" s="165" t="s">
        <v>187</v>
      </c>
      <c r="C38" s="156" t="s">
        <v>165</v>
      </c>
      <c r="D38" s="128">
        <v>14.0</v>
      </c>
      <c r="E38" s="154">
        <f t="shared" si="17"/>
        <v>45777</v>
      </c>
      <c r="F38" s="154"/>
      <c r="G38" s="154">
        <f t="shared" si="18"/>
        <v>45805</v>
      </c>
      <c r="H38" s="154"/>
      <c r="I38" s="154">
        <f t="shared" si="19"/>
        <v>45833</v>
      </c>
      <c r="J38" s="154"/>
      <c r="K38" s="154">
        <f t="shared" si="20"/>
        <v>45861</v>
      </c>
      <c r="L38" s="154"/>
      <c r="M38" s="154">
        <f t="shared" si="21"/>
        <v>45889</v>
      </c>
      <c r="N38" s="154"/>
      <c r="O38" s="154">
        <f t="shared" si="22"/>
        <v>45889</v>
      </c>
      <c r="P38" s="154"/>
      <c r="Q38" s="154">
        <f t="shared" si="15"/>
        <v>45777</v>
      </c>
      <c r="R38" s="154"/>
      <c r="S38" s="154">
        <f t="shared" si="16"/>
        <v>45777</v>
      </c>
      <c r="T38" s="154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59"/>
      <c r="AF38" s="160"/>
      <c r="AG38" s="161"/>
      <c r="AH38" s="161"/>
      <c r="AI38" s="161"/>
      <c r="AJ38" s="161"/>
      <c r="AK38" s="161"/>
      <c r="AL38" s="161"/>
    </row>
    <row r="39" ht="15.75" customHeight="1">
      <c r="A39" s="155">
        <v>20.0</v>
      </c>
      <c r="B39" s="165" t="s">
        <v>188</v>
      </c>
      <c r="C39" s="156" t="s">
        <v>165</v>
      </c>
      <c r="D39" s="128">
        <v>14.0</v>
      </c>
      <c r="E39" s="154">
        <f t="shared" si="17"/>
        <v>45777</v>
      </c>
      <c r="F39" s="154"/>
      <c r="G39" s="154">
        <f t="shared" si="18"/>
        <v>45805</v>
      </c>
      <c r="H39" s="154"/>
      <c r="I39" s="154">
        <f t="shared" si="19"/>
        <v>45833</v>
      </c>
      <c r="J39" s="154"/>
      <c r="K39" s="154">
        <f t="shared" si="20"/>
        <v>45861</v>
      </c>
      <c r="L39" s="154"/>
      <c r="M39" s="154">
        <f t="shared" si="21"/>
        <v>45889</v>
      </c>
      <c r="N39" s="154"/>
      <c r="O39" s="154">
        <f t="shared" si="22"/>
        <v>45889</v>
      </c>
      <c r="P39" s="154"/>
      <c r="Q39" s="154">
        <f t="shared" si="15"/>
        <v>45777</v>
      </c>
      <c r="R39" s="154"/>
      <c r="S39" s="154">
        <f t="shared" si="16"/>
        <v>45777</v>
      </c>
      <c r="T39" s="154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59"/>
      <c r="AF39" s="160"/>
      <c r="AG39" s="161"/>
      <c r="AH39" s="161"/>
      <c r="AI39" s="161"/>
      <c r="AJ39" s="161"/>
      <c r="AK39" s="161"/>
      <c r="AL39" s="161"/>
    </row>
    <row r="40" ht="15.75" customHeight="1">
      <c r="A40" s="128">
        <v>21.0</v>
      </c>
      <c r="B40" s="165" t="s">
        <v>189</v>
      </c>
      <c r="C40" s="156" t="s">
        <v>165</v>
      </c>
      <c r="D40" s="128">
        <v>15.0</v>
      </c>
      <c r="E40" s="154">
        <f t="shared" si="17"/>
        <v>45784</v>
      </c>
      <c r="F40" s="154"/>
      <c r="G40" s="154">
        <f t="shared" si="18"/>
        <v>45812</v>
      </c>
      <c r="H40" s="154"/>
      <c r="I40" s="154">
        <f t="shared" si="19"/>
        <v>45840</v>
      </c>
      <c r="J40" s="154"/>
      <c r="K40" s="154">
        <f t="shared" si="20"/>
        <v>45868</v>
      </c>
      <c r="L40" s="154"/>
      <c r="M40" s="154">
        <f t="shared" si="21"/>
        <v>45896</v>
      </c>
      <c r="N40" s="154"/>
      <c r="O40" s="154">
        <f t="shared" si="22"/>
        <v>45896</v>
      </c>
      <c r="P40" s="154"/>
      <c r="Q40" s="154">
        <f t="shared" si="15"/>
        <v>45784</v>
      </c>
      <c r="R40" s="154"/>
      <c r="S40" s="154">
        <f t="shared" si="16"/>
        <v>45784</v>
      </c>
      <c r="T40" s="154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59"/>
      <c r="AF40" s="160"/>
      <c r="AG40" s="161"/>
      <c r="AH40" s="161"/>
      <c r="AI40" s="161"/>
      <c r="AJ40" s="161"/>
      <c r="AK40" s="161"/>
      <c r="AL40" s="161"/>
    </row>
    <row r="41" ht="15.75" customHeight="1">
      <c r="A41" s="155">
        <v>22.0</v>
      </c>
      <c r="B41" s="165" t="s">
        <v>190</v>
      </c>
      <c r="C41" s="156" t="s">
        <v>165</v>
      </c>
      <c r="D41" s="128">
        <v>16.0</v>
      </c>
      <c r="E41" s="154">
        <f t="shared" si="17"/>
        <v>45791</v>
      </c>
      <c r="F41" s="154"/>
      <c r="G41" s="154">
        <f t="shared" si="18"/>
        <v>45819</v>
      </c>
      <c r="H41" s="154"/>
      <c r="I41" s="154">
        <f t="shared" si="19"/>
        <v>45847</v>
      </c>
      <c r="J41" s="154"/>
      <c r="K41" s="154">
        <f t="shared" si="20"/>
        <v>45875</v>
      </c>
      <c r="L41" s="154"/>
      <c r="M41" s="154">
        <f t="shared" si="21"/>
        <v>45903</v>
      </c>
      <c r="N41" s="154"/>
      <c r="O41" s="154">
        <f t="shared" si="22"/>
        <v>45903</v>
      </c>
      <c r="P41" s="154"/>
      <c r="Q41" s="154">
        <f t="shared" si="15"/>
        <v>45791</v>
      </c>
      <c r="R41" s="154"/>
      <c r="S41" s="154">
        <f t="shared" si="16"/>
        <v>45791</v>
      </c>
      <c r="T41" s="154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59"/>
      <c r="AF41" s="160"/>
      <c r="AG41" s="161"/>
      <c r="AH41" s="161"/>
      <c r="AI41" s="161"/>
      <c r="AJ41" s="161"/>
      <c r="AK41" s="161"/>
      <c r="AL41" s="161"/>
    </row>
    <row r="42" ht="15.75" customHeight="1">
      <c r="A42" s="155">
        <v>23.0</v>
      </c>
      <c r="B42" s="165" t="s">
        <v>191</v>
      </c>
      <c r="C42" s="156" t="s">
        <v>165</v>
      </c>
      <c r="D42" s="128">
        <v>17.0</v>
      </c>
      <c r="E42" s="154">
        <f t="shared" si="17"/>
        <v>45798</v>
      </c>
      <c r="F42" s="154"/>
      <c r="G42" s="154">
        <f t="shared" si="18"/>
        <v>45826</v>
      </c>
      <c r="H42" s="154"/>
      <c r="I42" s="154">
        <f t="shared" si="19"/>
        <v>45854</v>
      </c>
      <c r="J42" s="154"/>
      <c r="K42" s="154">
        <f t="shared" si="20"/>
        <v>45882</v>
      </c>
      <c r="L42" s="154"/>
      <c r="M42" s="154">
        <f t="shared" si="21"/>
        <v>45910</v>
      </c>
      <c r="N42" s="154"/>
      <c r="O42" s="154">
        <f t="shared" si="22"/>
        <v>45910</v>
      </c>
      <c r="P42" s="154"/>
      <c r="Q42" s="154">
        <f t="shared" si="15"/>
        <v>45798</v>
      </c>
      <c r="R42" s="154"/>
      <c r="S42" s="154">
        <f t="shared" si="16"/>
        <v>45798</v>
      </c>
      <c r="T42" s="154"/>
      <c r="U42" s="133"/>
      <c r="V42" s="133"/>
      <c r="W42" s="133"/>
      <c r="X42" s="133"/>
      <c r="Y42" s="133"/>
      <c r="Z42" s="133"/>
      <c r="AA42" s="133"/>
      <c r="AB42" s="133"/>
      <c r="AC42" s="133"/>
      <c r="AD42" s="133"/>
      <c r="AE42" s="159"/>
      <c r="AF42" s="160"/>
      <c r="AG42" s="161"/>
      <c r="AH42" s="161"/>
      <c r="AI42" s="161"/>
      <c r="AJ42" s="161"/>
      <c r="AK42" s="161"/>
      <c r="AL42" s="161"/>
    </row>
    <row r="43" ht="15.75" customHeight="1">
      <c r="A43" s="155">
        <v>24.0</v>
      </c>
      <c r="B43" s="165" t="s">
        <v>192</v>
      </c>
      <c r="C43" s="156" t="s">
        <v>165</v>
      </c>
      <c r="D43" s="128">
        <v>18.0</v>
      </c>
      <c r="E43" s="154">
        <f t="shared" si="17"/>
        <v>45805</v>
      </c>
      <c r="F43" s="154"/>
      <c r="G43" s="154">
        <f t="shared" si="18"/>
        <v>45833</v>
      </c>
      <c r="H43" s="154"/>
      <c r="I43" s="154">
        <f t="shared" si="19"/>
        <v>45861</v>
      </c>
      <c r="J43" s="154"/>
      <c r="K43" s="154">
        <f t="shared" si="20"/>
        <v>45889</v>
      </c>
      <c r="L43" s="154"/>
      <c r="M43" s="154">
        <f t="shared" si="21"/>
        <v>45917</v>
      </c>
      <c r="N43" s="154"/>
      <c r="O43" s="154">
        <f t="shared" si="22"/>
        <v>45917</v>
      </c>
      <c r="P43" s="154"/>
      <c r="Q43" s="154">
        <f t="shared" si="15"/>
        <v>45805</v>
      </c>
      <c r="R43" s="154"/>
      <c r="S43" s="154">
        <f t="shared" si="16"/>
        <v>45805</v>
      </c>
      <c r="T43" s="154"/>
      <c r="U43" s="133"/>
      <c r="V43" s="133"/>
      <c r="W43" s="133"/>
      <c r="X43" s="133"/>
      <c r="Y43" s="133"/>
      <c r="Z43" s="133"/>
      <c r="AA43" s="133"/>
      <c r="AB43" s="133"/>
      <c r="AC43" s="133"/>
      <c r="AD43" s="133"/>
      <c r="AE43" s="159"/>
      <c r="AF43" s="160"/>
      <c r="AG43" s="161"/>
      <c r="AH43" s="161"/>
      <c r="AI43" s="161"/>
      <c r="AJ43" s="161"/>
      <c r="AK43" s="161"/>
      <c r="AL43" s="161"/>
    </row>
    <row r="44" ht="15.75" customHeight="1">
      <c r="A44" s="128">
        <v>25.0</v>
      </c>
      <c r="B44" s="165" t="s">
        <v>193</v>
      </c>
      <c r="C44" s="156" t="s">
        <v>165</v>
      </c>
      <c r="D44" s="128">
        <v>5.0</v>
      </c>
      <c r="E44" s="154">
        <f t="shared" si="17"/>
        <v>45714</v>
      </c>
      <c r="F44" s="132"/>
      <c r="G44" s="154">
        <f t="shared" si="18"/>
        <v>45742</v>
      </c>
      <c r="H44" s="154"/>
      <c r="I44" s="154">
        <f>$I$18+(H44*7)</f>
        <v>45735</v>
      </c>
      <c r="J44" s="154"/>
      <c r="K44" s="154">
        <f>$K$18+(J44*7)</f>
        <v>45763</v>
      </c>
      <c r="L44" s="154"/>
      <c r="M44" s="154">
        <f>$M$18+(L44*7)</f>
        <v>45791</v>
      </c>
      <c r="N44" s="154"/>
      <c r="O44" s="154">
        <f>$M$18+(N44*7)</f>
        <v>45791</v>
      </c>
      <c r="P44" s="154"/>
      <c r="Q44" s="154">
        <f t="shared" si="15"/>
        <v>45714</v>
      </c>
      <c r="R44" s="154"/>
      <c r="S44" s="154">
        <f t="shared" si="16"/>
        <v>45714</v>
      </c>
      <c r="T44" s="154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59"/>
      <c r="AF44" s="160"/>
      <c r="AG44" s="161"/>
      <c r="AH44" s="161"/>
      <c r="AI44" s="161"/>
      <c r="AJ44" s="161"/>
      <c r="AK44" s="161"/>
      <c r="AL44" s="161"/>
    </row>
    <row r="45" ht="15.75" customHeight="1">
      <c r="A45" s="155">
        <v>26.0</v>
      </c>
      <c r="B45" s="130" t="s">
        <v>194</v>
      </c>
      <c r="C45" s="130" t="s">
        <v>195</v>
      </c>
      <c r="D45" s="131"/>
      <c r="E45" s="132"/>
      <c r="F45" s="132"/>
      <c r="G45" s="132"/>
      <c r="H45" s="132"/>
      <c r="I45" s="132"/>
      <c r="J45" s="132"/>
      <c r="K45" s="132"/>
      <c r="L45" s="132"/>
      <c r="M45" s="132"/>
      <c r="N45" s="132"/>
      <c r="O45" s="132"/>
      <c r="P45" s="132"/>
      <c r="Q45" s="132"/>
      <c r="R45" s="132"/>
      <c r="S45" s="132"/>
      <c r="T45" s="132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34"/>
      <c r="AF45" s="135"/>
      <c r="AG45" s="125"/>
      <c r="AH45" s="125"/>
      <c r="AI45" s="125"/>
      <c r="AJ45" s="125"/>
      <c r="AK45" s="125"/>
      <c r="AL45" s="125"/>
    </row>
    <row r="46" ht="15.75" customHeight="1">
      <c r="A46" s="180" t="s">
        <v>196</v>
      </c>
      <c r="B46" s="139" t="s">
        <v>197</v>
      </c>
      <c r="C46" s="139"/>
      <c r="D46" s="139"/>
      <c r="E46" s="140"/>
      <c r="F46" s="140"/>
      <c r="G46" s="151"/>
      <c r="H46" s="151"/>
      <c r="I46" s="140"/>
      <c r="J46" s="140"/>
      <c r="K46" s="140"/>
      <c r="L46" s="140"/>
      <c r="M46" s="140"/>
      <c r="N46" s="140"/>
      <c r="O46" s="140"/>
      <c r="P46" s="140"/>
      <c r="Q46" s="140"/>
      <c r="R46" s="140"/>
      <c r="S46" s="140"/>
      <c r="T46" s="140"/>
      <c r="U46" s="141"/>
      <c r="V46" s="141"/>
      <c r="W46" s="166"/>
      <c r="X46" s="166"/>
      <c r="Y46" s="141"/>
      <c r="Z46" s="141"/>
      <c r="AA46" s="141"/>
      <c r="AB46" s="141"/>
      <c r="AC46" s="141"/>
      <c r="AD46" s="141"/>
      <c r="AE46" s="142"/>
      <c r="AF46" s="135"/>
      <c r="AG46" s="125"/>
      <c r="AH46" s="125"/>
      <c r="AI46" s="125"/>
      <c r="AJ46" s="125"/>
      <c r="AK46" s="125"/>
      <c r="AL46" s="125"/>
    </row>
    <row r="47" ht="15.75" customHeight="1">
      <c r="A47" s="155">
        <v>1.1</v>
      </c>
      <c r="B47" s="181" t="s">
        <v>198</v>
      </c>
      <c r="C47" s="156" t="s">
        <v>163</v>
      </c>
      <c r="D47" s="128"/>
      <c r="E47" s="154"/>
      <c r="F47" s="154"/>
      <c r="G47" s="182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33"/>
      <c r="V47" s="133"/>
      <c r="W47" s="183"/>
      <c r="X47" s="133"/>
      <c r="Y47" s="133"/>
      <c r="Z47" s="133"/>
      <c r="AA47" s="133"/>
      <c r="AB47" s="133"/>
      <c r="AC47" s="133"/>
      <c r="AD47" s="133"/>
      <c r="AE47" s="159"/>
      <c r="AF47" s="160"/>
      <c r="AG47" s="161"/>
      <c r="AH47" s="161"/>
      <c r="AI47" s="161"/>
      <c r="AJ47" s="161"/>
      <c r="AK47" s="161"/>
      <c r="AL47" s="161"/>
    </row>
    <row r="48" ht="15.75" customHeight="1">
      <c r="A48" s="155">
        <v>1.2</v>
      </c>
      <c r="B48" s="54"/>
      <c r="C48" s="156" t="s">
        <v>164</v>
      </c>
      <c r="D48" s="128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59"/>
      <c r="AF48" s="160"/>
      <c r="AG48" s="161"/>
      <c r="AH48" s="161"/>
      <c r="AI48" s="161"/>
      <c r="AJ48" s="161"/>
      <c r="AK48" s="161"/>
      <c r="AL48" s="161"/>
    </row>
    <row r="49" ht="15.75" customHeight="1">
      <c r="A49" s="155">
        <v>1.3</v>
      </c>
      <c r="B49" s="59"/>
      <c r="C49" s="156" t="s">
        <v>165</v>
      </c>
      <c r="D49" s="128"/>
      <c r="E49" s="154"/>
      <c r="F49" s="154"/>
      <c r="G49" s="154"/>
      <c r="H49" s="154"/>
      <c r="I49" s="154"/>
      <c r="J49" s="154"/>
      <c r="K49" s="154"/>
      <c r="L49" s="154"/>
      <c r="M49" s="154"/>
      <c r="N49" s="154"/>
      <c r="O49" s="154"/>
      <c r="P49" s="154"/>
      <c r="Q49" s="154"/>
      <c r="R49" s="154"/>
      <c r="S49" s="154"/>
      <c r="T49" s="154"/>
      <c r="U49" s="133"/>
      <c r="V49" s="133"/>
      <c r="W49" s="133"/>
      <c r="X49" s="133"/>
      <c r="Y49" s="133"/>
      <c r="Z49" s="133"/>
      <c r="AA49" s="133"/>
      <c r="AB49" s="133"/>
      <c r="AC49" s="133"/>
      <c r="AD49" s="133"/>
      <c r="AE49" s="159"/>
      <c r="AF49" s="160"/>
      <c r="AG49" s="161"/>
      <c r="AH49" s="161"/>
      <c r="AI49" s="161"/>
      <c r="AJ49" s="161"/>
      <c r="AK49" s="161"/>
      <c r="AL49" s="161"/>
    </row>
    <row r="50" ht="15.75" customHeight="1">
      <c r="A50" s="155">
        <v>2.1</v>
      </c>
      <c r="B50" s="181" t="s">
        <v>199</v>
      </c>
      <c r="C50" s="156" t="s">
        <v>163</v>
      </c>
      <c r="D50" s="128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54"/>
      <c r="Q50" s="154"/>
      <c r="R50" s="154"/>
      <c r="S50" s="154"/>
      <c r="T50" s="154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59"/>
      <c r="AF50" s="160"/>
      <c r="AG50" s="161"/>
      <c r="AH50" s="161"/>
      <c r="AI50" s="161"/>
      <c r="AJ50" s="161"/>
      <c r="AK50" s="161"/>
      <c r="AL50" s="161"/>
    </row>
    <row r="51" ht="15.75" customHeight="1">
      <c r="A51" s="155">
        <f t="shared" ref="A51:A52" si="23">+A50+0.1</f>
        <v>2.2</v>
      </c>
      <c r="B51" s="54"/>
      <c r="C51" s="156" t="s">
        <v>164</v>
      </c>
      <c r="D51" s="128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59"/>
      <c r="AF51" s="160"/>
      <c r="AG51" s="161"/>
      <c r="AH51" s="161"/>
      <c r="AI51" s="161"/>
      <c r="AJ51" s="161"/>
      <c r="AK51" s="161"/>
      <c r="AL51" s="161"/>
    </row>
    <row r="52" ht="15.75" customHeight="1">
      <c r="A52" s="155">
        <f t="shared" si="23"/>
        <v>2.3</v>
      </c>
      <c r="B52" s="59"/>
      <c r="C52" s="156" t="s">
        <v>165</v>
      </c>
      <c r="D52" s="128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59"/>
      <c r="AF52" s="160"/>
      <c r="AG52" s="161"/>
      <c r="AH52" s="161"/>
      <c r="AI52" s="161"/>
      <c r="AJ52" s="161"/>
      <c r="AK52" s="161"/>
      <c r="AL52" s="161"/>
    </row>
    <row r="53" ht="15.75" customHeight="1">
      <c r="A53" s="155">
        <v>3.1</v>
      </c>
      <c r="B53" s="181" t="s">
        <v>200</v>
      </c>
      <c r="C53" s="156" t="s">
        <v>163</v>
      </c>
      <c r="D53" s="128"/>
      <c r="E53" s="154"/>
      <c r="F53" s="154"/>
      <c r="G53" s="182"/>
      <c r="H53" s="154"/>
      <c r="I53" s="182"/>
      <c r="J53" s="154"/>
      <c r="K53" s="182"/>
      <c r="L53" s="154"/>
      <c r="M53" s="182"/>
      <c r="N53" s="154"/>
      <c r="O53" s="154"/>
      <c r="P53" s="154"/>
      <c r="Q53" s="154"/>
      <c r="R53" s="154"/>
      <c r="S53" s="154"/>
      <c r="T53" s="154"/>
      <c r="U53" s="133"/>
      <c r="V53" s="133"/>
      <c r="W53" s="183"/>
      <c r="X53" s="133"/>
      <c r="Y53" s="183"/>
      <c r="Z53" s="133"/>
      <c r="AA53" s="183"/>
      <c r="AB53" s="133"/>
      <c r="AC53" s="183"/>
      <c r="AD53" s="133"/>
      <c r="AE53" s="159"/>
      <c r="AF53" s="160"/>
      <c r="AG53" s="161"/>
      <c r="AH53" s="161"/>
      <c r="AI53" s="161"/>
      <c r="AJ53" s="161"/>
      <c r="AK53" s="161"/>
      <c r="AL53" s="161"/>
    </row>
    <row r="54" ht="15.75" customHeight="1">
      <c r="A54" s="155">
        <f t="shared" ref="A54:A55" si="24">+A53+0.1</f>
        <v>3.2</v>
      </c>
      <c r="B54" s="54"/>
      <c r="C54" s="156" t="s">
        <v>164</v>
      </c>
      <c r="D54" s="128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59"/>
      <c r="AF54" s="160"/>
      <c r="AG54" s="161"/>
      <c r="AH54" s="161"/>
      <c r="AI54" s="161"/>
      <c r="AJ54" s="161"/>
      <c r="AK54" s="161"/>
      <c r="AL54" s="161"/>
    </row>
    <row r="55" ht="15.75" customHeight="1">
      <c r="A55" s="155">
        <f t="shared" si="24"/>
        <v>3.3</v>
      </c>
      <c r="B55" s="59"/>
      <c r="C55" s="156" t="s">
        <v>165</v>
      </c>
      <c r="D55" s="128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59"/>
      <c r="AF55" s="160"/>
      <c r="AG55" s="161"/>
      <c r="AH55" s="161"/>
      <c r="AI55" s="161"/>
      <c r="AJ55" s="161"/>
      <c r="AK55" s="161"/>
      <c r="AL55" s="161"/>
    </row>
    <row r="56" ht="15.75" customHeight="1">
      <c r="A56" s="155">
        <f>+A53+1</f>
        <v>4.1</v>
      </c>
      <c r="B56" s="181" t="s">
        <v>201</v>
      </c>
      <c r="C56" s="156" t="s">
        <v>163</v>
      </c>
      <c r="D56" s="128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59"/>
      <c r="AF56" s="160"/>
      <c r="AG56" s="161"/>
      <c r="AH56" s="161"/>
      <c r="AI56" s="161"/>
      <c r="AJ56" s="161"/>
      <c r="AK56" s="161"/>
      <c r="AL56" s="161"/>
    </row>
    <row r="57" ht="15.75" customHeight="1">
      <c r="A57" s="155">
        <f t="shared" ref="A57:A58" si="25">+A56+0.1</f>
        <v>4.2</v>
      </c>
      <c r="B57" s="54"/>
      <c r="C57" s="156" t="s">
        <v>164</v>
      </c>
      <c r="D57" s="128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59"/>
      <c r="AF57" s="160"/>
      <c r="AG57" s="161"/>
      <c r="AH57" s="161"/>
      <c r="AI57" s="161"/>
      <c r="AJ57" s="161"/>
      <c r="AK57" s="161"/>
      <c r="AL57" s="161"/>
    </row>
    <row r="58" ht="15.75" customHeight="1">
      <c r="A58" s="155">
        <f t="shared" si="25"/>
        <v>4.3</v>
      </c>
      <c r="B58" s="59"/>
      <c r="C58" s="156" t="s">
        <v>165</v>
      </c>
      <c r="D58" s="128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59"/>
      <c r="AF58" s="160"/>
      <c r="AG58" s="161"/>
      <c r="AH58" s="161"/>
      <c r="AI58" s="161"/>
      <c r="AJ58" s="161"/>
      <c r="AK58" s="161"/>
      <c r="AL58" s="161"/>
    </row>
    <row r="59" ht="15.75" customHeight="1">
      <c r="A59" s="155">
        <f>+A56+1</f>
        <v>5.1</v>
      </c>
      <c r="B59" s="181" t="s">
        <v>202</v>
      </c>
      <c r="C59" s="156" t="s">
        <v>163</v>
      </c>
      <c r="D59" s="128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59"/>
      <c r="AF59" s="160"/>
      <c r="AG59" s="161"/>
      <c r="AH59" s="161"/>
      <c r="AI59" s="161"/>
      <c r="AJ59" s="161"/>
      <c r="AK59" s="161"/>
      <c r="AL59" s="161"/>
    </row>
    <row r="60" ht="15.75" customHeight="1">
      <c r="A60" s="155">
        <f t="shared" ref="A60:A61" si="26">+A59+0.1</f>
        <v>5.2</v>
      </c>
      <c r="B60" s="54"/>
      <c r="C60" s="156" t="s">
        <v>164</v>
      </c>
      <c r="D60" s="128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33"/>
      <c r="V60" s="133"/>
      <c r="W60" s="133"/>
      <c r="X60" s="133"/>
      <c r="Y60" s="133"/>
      <c r="Z60" s="133"/>
      <c r="AA60" s="133"/>
      <c r="AB60" s="133"/>
      <c r="AC60" s="133"/>
      <c r="AD60" s="133"/>
      <c r="AE60" s="159"/>
      <c r="AF60" s="160"/>
      <c r="AG60" s="161"/>
      <c r="AH60" s="161"/>
      <c r="AI60" s="161"/>
      <c r="AJ60" s="161"/>
      <c r="AK60" s="161"/>
      <c r="AL60" s="161"/>
    </row>
    <row r="61" ht="15.75" customHeight="1">
      <c r="A61" s="155">
        <f t="shared" si="26"/>
        <v>5.3</v>
      </c>
      <c r="B61" s="59"/>
      <c r="C61" s="156" t="s">
        <v>165</v>
      </c>
      <c r="D61" s="128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33"/>
      <c r="V61" s="133"/>
      <c r="W61" s="133"/>
      <c r="X61" s="133"/>
      <c r="Y61" s="133"/>
      <c r="Z61" s="133"/>
      <c r="AA61" s="133"/>
      <c r="AB61" s="133"/>
      <c r="AC61" s="133"/>
      <c r="AD61" s="133"/>
      <c r="AE61" s="159"/>
      <c r="AF61" s="160"/>
      <c r="AG61" s="161"/>
      <c r="AH61" s="161"/>
      <c r="AI61" s="161"/>
      <c r="AJ61" s="161"/>
      <c r="AK61" s="161"/>
      <c r="AL61" s="161"/>
    </row>
    <row r="62" ht="15.75" customHeight="1">
      <c r="A62" s="155">
        <f>+A59+1</f>
        <v>6.1</v>
      </c>
      <c r="B62" s="181" t="s">
        <v>203</v>
      </c>
      <c r="C62" s="156" t="s">
        <v>163</v>
      </c>
      <c r="D62" s="128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33"/>
      <c r="V62" s="133"/>
      <c r="W62" s="133"/>
      <c r="X62" s="133"/>
      <c r="Y62" s="133"/>
      <c r="Z62" s="133"/>
      <c r="AA62" s="133"/>
      <c r="AB62" s="133"/>
      <c r="AC62" s="133"/>
      <c r="AD62" s="133"/>
      <c r="AE62" s="159"/>
      <c r="AF62" s="160"/>
      <c r="AG62" s="161"/>
      <c r="AH62" s="161"/>
      <c r="AI62" s="161"/>
      <c r="AJ62" s="161"/>
      <c r="AK62" s="161"/>
      <c r="AL62" s="161"/>
    </row>
    <row r="63" ht="15.75" customHeight="1">
      <c r="A63" s="155">
        <f t="shared" ref="A63:A64" si="27">+A62+0.1</f>
        <v>6.2</v>
      </c>
      <c r="B63" s="54"/>
      <c r="C63" s="156" t="s">
        <v>164</v>
      </c>
      <c r="D63" s="128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33"/>
      <c r="V63" s="133"/>
      <c r="W63" s="133"/>
      <c r="X63" s="133"/>
      <c r="Y63" s="133"/>
      <c r="Z63" s="133"/>
      <c r="AA63" s="133"/>
      <c r="AB63" s="133"/>
      <c r="AC63" s="133"/>
      <c r="AD63" s="133"/>
      <c r="AE63" s="159"/>
      <c r="AF63" s="160"/>
      <c r="AG63" s="161"/>
      <c r="AH63" s="161"/>
      <c r="AI63" s="161"/>
      <c r="AJ63" s="161"/>
      <c r="AK63" s="161"/>
      <c r="AL63" s="161"/>
    </row>
    <row r="64" ht="15.75" customHeight="1">
      <c r="A64" s="155">
        <f t="shared" si="27"/>
        <v>6.3</v>
      </c>
      <c r="B64" s="59"/>
      <c r="C64" s="156" t="s">
        <v>165</v>
      </c>
      <c r="D64" s="128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59"/>
      <c r="AF64" s="160"/>
      <c r="AG64" s="161"/>
      <c r="AH64" s="161"/>
      <c r="AI64" s="161"/>
      <c r="AJ64" s="161"/>
      <c r="AK64" s="161"/>
      <c r="AL64" s="161"/>
    </row>
    <row r="65" ht="15.75" customHeight="1">
      <c r="A65" s="155">
        <f>+A62+1</f>
        <v>7.1</v>
      </c>
      <c r="B65" s="181" t="s">
        <v>204</v>
      </c>
      <c r="C65" s="156" t="s">
        <v>163</v>
      </c>
      <c r="D65" s="128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59"/>
      <c r="AF65" s="160"/>
      <c r="AG65" s="161"/>
      <c r="AH65" s="161"/>
      <c r="AI65" s="161"/>
      <c r="AJ65" s="161"/>
      <c r="AK65" s="161"/>
      <c r="AL65" s="161"/>
    </row>
    <row r="66" ht="15.75" customHeight="1">
      <c r="A66" s="155">
        <f t="shared" ref="A66:A67" si="28">+A65+0.1</f>
        <v>7.2</v>
      </c>
      <c r="B66" s="54"/>
      <c r="C66" s="156" t="s">
        <v>164</v>
      </c>
      <c r="D66" s="128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  <c r="AE66" s="159"/>
      <c r="AF66" s="160"/>
      <c r="AG66" s="161"/>
      <c r="AH66" s="161"/>
      <c r="AI66" s="161"/>
      <c r="AJ66" s="161"/>
      <c r="AK66" s="161"/>
      <c r="AL66" s="161"/>
    </row>
    <row r="67" ht="15.75" customHeight="1">
      <c r="A67" s="155">
        <f t="shared" si="28"/>
        <v>7.3</v>
      </c>
      <c r="B67" s="59"/>
      <c r="C67" s="156" t="s">
        <v>165</v>
      </c>
      <c r="D67" s="128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59"/>
      <c r="AF67" s="160"/>
      <c r="AG67" s="161"/>
      <c r="AH67" s="161"/>
      <c r="AI67" s="161"/>
      <c r="AJ67" s="161"/>
      <c r="AK67" s="161"/>
      <c r="AL67" s="161"/>
    </row>
    <row r="68" ht="15.75" customHeight="1">
      <c r="A68" s="155">
        <f>+A65+1</f>
        <v>8.1</v>
      </c>
      <c r="B68" s="181" t="s">
        <v>205</v>
      </c>
      <c r="C68" s="156" t="s">
        <v>163</v>
      </c>
      <c r="D68" s="128"/>
      <c r="E68" s="154"/>
      <c r="F68" s="154"/>
      <c r="G68" s="154"/>
      <c r="H68" s="154"/>
      <c r="I68" s="154"/>
      <c r="J68" s="154"/>
      <c r="K68" s="154"/>
      <c r="L68" s="154"/>
      <c r="M68" s="154"/>
      <c r="N68" s="154"/>
      <c r="O68" s="154"/>
      <c r="P68" s="154"/>
      <c r="Q68" s="154"/>
      <c r="R68" s="154"/>
      <c r="S68" s="154"/>
      <c r="T68" s="154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59"/>
      <c r="AF68" s="160"/>
      <c r="AG68" s="161"/>
      <c r="AH68" s="161"/>
      <c r="AI68" s="161"/>
      <c r="AJ68" s="161"/>
      <c r="AK68" s="161"/>
      <c r="AL68" s="161"/>
    </row>
    <row r="69" ht="15.75" customHeight="1">
      <c r="A69" s="155">
        <f t="shared" ref="A69:A70" si="29">+A68+0.1</f>
        <v>8.2</v>
      </c>
      <c r="B69" s="54"/>
      <c r="C69" s="156" t="s">
        <v>164</v>
      </c>
      <c r="D69" s="128"/>
      <c r="E69" s="154"/>
      <c r="F69" s="154"/>
      <c r="G69" s="154"/>
      <c r="H69" s="154"/>
      <c r="I69" s="154"/>
      <c r="J69" s="154"/>
      <c r="K69" s="154"/>
      <c r="L69" s="154"/>
      <c r="M69" s="154"/>
      <c r="N69" s="154"/>
      <c r="O69" s="154"/>
      <c r="P69" s="154"/>
      <c r="Q69" s="154"/>
      <c r="R69" s="154"/>
      <c r="S69" s="154"/>
      <c r="T69" s="154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59"/>
      <c r="AF69" s="160"/>
      <c r="AG69" s="161"/>
      <c r="AH69" s="161"/>
      <c r="AI69" s="161"/>
      <c r="AJ69" s="161"/>
      <c r="AK69" s="161"/>
      <c r="AL69" s="161"/>
    </row>
    <row r="70" ht="15.75" customHeight="1">
      <c r="A70" s="155">
        <f t="shared" si="29"/>
        <v>8.3</v>
      </c>
      <c r="B70" s="59"/>
      <c r="C70" s="156" t="s">
        <v>165</v>
      </c>
      <c r="D70" s="128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4"/>
      <c r="T70" s="154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59"/>
      <c r="AF70" s="160"/>
      <c r="AG70" s="161"/>
      <c r="AH70" s="161"/>
      <c r="AI70" s="161"/>
      <c r="AJ70" s="161"/>
      <c r="AK70" s="161"/>
      <c r="AL70" s="161"/>
    </row>
    <row r="71" ht="15.75" customHeight="1">
      <c r="A71" s="155">
        <f>+A68+1</f>
        <v>9.1</v>
      </c>
      <c r="B71" s="184" t="s">
        <v>206</v>
      </c>
      <c r="C71" s="156" t="s">
        <v>163</v>
      </c>
      <c r="D71" s="128">
        <v>2.0</v>
      </c>
      <c r="E71" s="154">
        <f t="shared" ref="E71:E86" si="30">+$E$18+(D71*7)</f>
        <v>45693</v>
      </c>
      <c r="F71" s="154"/>
      <c r="G71" s="154">
        <f t="shared" ref="G71:G86" si="31">+$G$18+(D71*7)</f>
        <v>45721</v>
      </c>
      <c r="H71" s="154"/>
      <c r="I71" s="154">
        <f t="shared" ref="I71:I86" si="32">+$I$18+(D71*7)</f>
        <v>45749</v>
      </c>
      <c r="J71" s="154"/>
      <c r="K71" s="154">
        <f t="shared" ref="K71:K85" si="33">+$K$18+(D71*7)</f>
        <v>45777</v>
      </c>
      <c r="L71" s="154"/>
      <c r="M71" s="154">
        <f t="shared" ref="M71:M86" si="34">+$M$18+(D71*7)</f>
        <v>45805</v>
      </c>
      <c r="N71" s="154"/>
      <c r="O71" s="154">
        <f t="shared" ref="O71:O86" si="35">+$O$18+(D71*7)</f>
        <v>45833</v>
      </c>
      <c r="P71" s="154"/>
      <c r="Q71" s="154"/>
      <c r="R71" s="154"/>
      <c r="S71" s="154"/>
      <c r="T71" s="154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59"/>
      <c r="AF71" s="160"/>
      <c r="AG71" s="161"/>
      <c r="AH71" s="161"/>
      <c r="AI71" s="161"/>
      <c r="AJ71" s="161"/>
      <c r="AK71" s="161"/>
      <c r="AL71" s="161"/>
    </row>
    <row r="72" ht="15.75" customHeight="1">
      <c r="A72" s="155">
        <f t="shared" ref="A72:A73" si="36">+A71+0.1</f>
        <v>9.2</v>
      </c>
      <c r="B72" s="54"/>
      <c r="C72" s="156" t="s">
        <v>164</v>
      </c>
      <c r="D72" s="128">
        <v>1.0</v>
      </c>
      <c r="E72" s="154">
        <f t="shared" si="30"/>
        <v>45686</v>
      </c>
      <c r="F72" s="154"/>
      <c r="G72" s="154">
        <f t="shared" si="31"/>
        <v>45714</v>
      </c>
      <c r="H72" s="154"/>
      <c r="I72" s="154">
        <f t="shared" si="32"/>
        <v>45742</v>
      </c>
      <c r="J72" s="154"/>
      <c r="K72" s="154">
        <f t="shared" si="33"/>
        <v>45770</v>
      </c>
      <c r="L72" s="154"/>
      <c r="M72" s="154">
        <f t="shared" si="34"/>
        <v>45798</v>
      </c>
      <c r="N72" s="154"/>
      <c r="O72" s="154">
        <f t="shared" si="35"/>
        <v>45826</v>
      </c>
      <c r="P72" s="154"/>
      <c r="Q72" s="154"/>
      <c r="R72" s="154"/>
      <c r="S72" s="154"/>
      <c r="T72" s="154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59"/>
      <c r="AF72" s="160"/>
      <c r="AG72" s="161"/>
      <c r="AH72" s="161"/>
      <c r="AI72" s="161"/>
      <c r="AJ72" s="161"/>
      <c r="AK72" s="161"/>
      <c r="AL72" s="161"/>
    </row>
    <row r="73" ht="15.75" customHeight="1">
      <c r="A73" s="155">
        <f t="shared" si="36"/>
        <v>9.3</v>
      </c>
      <c r="B73" s="59"/>
      <c r="C73" s="156" t="s">
        <v>165</v>
      </c>
      <c r="D73" s="128">
        <v>2.0</v>
      </c>
      <c r="E73" s="154">
        <f t="shared" si="30"/>
        <v>45693</v>
      </c>
      <c r="F73" s="154"/>
      <c r="G73" s="154">
        <f t="shared" si="31"/>
        <v>45721</v>
      </c>
      <c r="H73" s="154"/>
      <c r="I73" s="154">
        <f t="shared" si="32"/>
        <v>45749</v>
      </c>
      <c r="J73" s="154"/>
      <c r="K73" s="154">
        <f t="shared" si="33"/>
        <v>45777</v>
      </c>
      <c r="L73" s="154"/>
      <c r="M73" s="154">
        <f t="shared" si="34"/>
        <v>45805</v>
      </c>
      <c r="N73" s="154"/>
      <c r="O73" s="154">
        <f t="shared" si="35"/>
        <v>45833</v>
      </c>
      <c r="P73" s="154"/>
      <c r="Q73" s="154"/>
      <c r="R73" s="154"/>
      <c r="S73" s="154"/>
      <c r="T73" s="154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59"/>
      <c r="AF73" s="160"/>
      <c r="AG73" s="161"/>
      <c r="AH73" s="161"/>
      <c r="AI73" s="161"/>
      <c r="AJ73" s="161"/>
      <c r="AK73" s="161"/>
      <c r="AL73" s="161"/>
    </row>
    <row r="74" ht="15.75" customHeight="1">
      <c r="A74" s="155">
        <f>+A71+1</f>
        <v>10.1</v>
      </c>
      <c r="B74" s="184" t="s">
        <v>207</v>
      </c>
      <c r="C74" s="156" t="s">
        <v>163</v>
      </c>
      <c r="D74" s="128">
        <v>3.0</v>
      </c>
      <c r="E74" s="154">
        <f t="shared" si="30"/>
        <v>45700</v>
      </c>
      <c r="F74" s="154"/>
      <c r="G74" s="154">
        <f t="shared" si="31"/>
        <v>45728</v>
      </c>
      <c r="H74" s="154"/>
      <c r="I74" s="154">
        <f t="shared" si="32"/>
        <v>45756</v>
      </c>
      <c r="J74" s="154"/>
      <c r="K74" s="154">
        <f t="shared" si="33"/>
        <v>45784</v>
      </c>
      <c r="L74" s="154"/>
      <c r="M74" s="154">
        <f t="shared" si="34"/>
        <v>45812</v>
      </c>
      <c r="N74" s="154"/>
      <c r="O74" s="154">
        <f t="shared" si="35"/>
        <v>45840</v>
      </c>
      <c r="P74" s="154"/>
      <c r="Q74" s="154"/>
      <c r="R74" s="154"/>
      <c r="S74" s="154"/>
      <c r="T74" s="154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59"/>
      <c r="AF74" s="160"/>
      <c r="AG74" s="161"/>
      <c r="AH74" s="161"/>
      <c r="AI74" s="161"/>
      <c r="AJ74" s="161"/>
      <c r="AK74" s="161"/>
      <c r="AL74" s="161"/>
    </row>
    <row r="75" ht="15.75" customHeight="1">
      <c r="A75" s="155">
        <f t="shared" ref="A75:A76" si="37">+A74+0.1</f>
        <v>10.2</v>
      </c>
      <c r="B75" s="54"/>
      <c r="C75" s="156" t="s">
        <v>164</v>
      </c>
      <c r="D75" s="128">
        <v>1.0</v>
      </c>
      <c r="E75" s="154">
        <f t="shared" si="30"/>
        <v>45686</v>
      </c>
      <c r="F75" s="154"/>
      <c r="G75" s="154">
        <f t="shared" si="31"/>
        <v>45714</v>
      </c>
      <c r="H75" s="154"/>
      <c r="I75" s="154">
        <f t="shared" si="32"/>
        <v>45742</v>
      </c>
      <c r="J75" s="154"/>
      <c r="K75" s="154">
        <f t="shared" si="33"/>
        <v>45770</v>
      </c>
      <c r="L75" s="154"/>
      <c r="M75" s="154">
        <f t="shared" si="34"/>
        <v>45798</v>
      </c>
      <c r="N75" s="154"/>
      <c r="O75" s="154">
        <f t="shared" si="35"/>
        <v>45826</v>
      </c>
      <c r="P75" s="154"/>
      <c r="Q75" s="154"/>
      <c r="R75" s="154"/>
      <c r="S75" s="154"/>
      <c r="T75" s="154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59"/>
      <c r="AF75" s="160"/>
      <c r="AG75" s="161"/>
      <c r="AH75" s="161"/>
      <c r="AI75" s="161"/>
      <c r="AJ75" s="161"/>
      <c r="AK75" s="161"/>
      <c r="AL75" s="161"/>
    </row>
    <row r="76" ht="15.75" customHeight="1">
      <c r="A76" s="155">
        <f t="shared" si="37"/>
        <v>10.3</v>
      </c>
      <c r="B76" s="59"/>
      <c r="C76" s="156" t="s">
        <v>165</v>
      </c>
      <c r="D76" s="128">
        <v>2.0</v>
      </c>
      <c r="E76" s="154">
        <f t="shared" si="30"/>
        <v>45693</v>
      </c>
      <c r="F76" s="154"/>
      <c r="G76" s="154">
        <f t="shared" si="31"/>
        <v>45721</v>
      </c>
      <c r="H76" s="154"/>
      <c r="I76" s="154">
        <f t="shared" si="32"/>
        <v>45749</v>
      </c>
      <c r="J76" s="154"/>
      <c r="K76" s="154">
        <f t="shared" si="33"/>
        <v>45777</v>
      </c>
      <c r="L76" s="154"/>
      <c r="M76" s="154">
        <f t="shared" si="34"/>
        <v>45805</v>
      </c>
      <c r="N76" s="154"/>
      <c r="O76" s="154">
        <f t="shared" si="35"/>
        <v>45833</v>
      </c>
      <c r="P76" s="154"/>
      <c r="Q76" s="154"/>
      <c r="R76" s="154"/>
      <c r="S76" s="154"/>
      <c r="T76" s="154"/>
      <c r="U76" s="167"/>
      <c r="V76" s="167"/>
      <c r="W76" s="167"/>
      <c r="X76" s="167"/>
      <c r="Y76" s="167"/>
      <c r="Z76" s="167"/>
      <c r="AA76" s="167"/>
      <c r="AB76" s="167"/>
      <c r="AC76" s="167"/>
      <c r="AD76" s="167"/>
      <c r="AE76" s="159"/>
      <c r="AF76" s="160"/>
      <c r="AG76" s="161"/>
      <c r="AH76" s="161"/>
      <c r="AI76" s="161"/>
      <c r="AJ76" s="161"/>
      <c r="AK76" s="161"/>
      <c r="AL76" s="161"/>
    </row>
    <row r="77" ht="15.75" customHeight="1">
      <c r="A77" s="155">
        <f>+A74+1</f>
        <v>11.1</v>
      </c>
      <c r="B77" s="185" t="s">
        <v>208</v>
      </c>
      <c r="C77" s="156" t="s">
        <v>163</v>
      </c>
      <c r="D77" s="128">
        <v>4.0</v>
      </c>
      <c r="E77" s="154">
        <f t="shared" si="30"/>
        <v>45707</v>
      </c>
      <c r="F77" s="154"/>
      <c r="G77" s="154">
        <f t="shared" si="31"/>
        <v>45735</v>
      </c>
      <c r="H77" s="154"/>
      <c r="I77" s="154">
        <f t="shared" si="32"/>
        <v>45763</v>
      </c>
      <c r="J77" s="154"/>
      <c r="K77" s="154">
        <f t="shared" si="33"/>
        <v>45791</v>
      </c>
      <c r="L77" s="154"/>
      <c r="M77" s="154">
        <f t="shared" si="34"/>
        <v>45819</v>
      </c>
      <c r="N77" s="154"/>
      <c r="O77" s="154">
        <f t="shared" si="35"/>
        <v>45847</v>
      </c>
      <c r="P77" s="154"/>
      <c r="Q77" s="154"/>
      <c r="R77" s="154"/>
      <c r="S77" s="154"/>
      <c r="T77" s="154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59"/>
      <c r="AF77" s="160"/>
      <c r="AG77" s="161"/>
      <c r="AH77" s="161"/>
      <c r="AI77" s="161"/>
      <c r="AJ77" s="161"/>
      <c r="AK77" s="161"/>
      <c r="AL77" s="161"/>
    </row>
    <row r="78" ht="15.75" customHeight="1">
      <c r="A78" s="155">
        <f t="shared" ref="A78:A79" si="38">+A77+0.1</f>
        <v>11.2</v>
      </c>
      <c r="B78" s="54"/>
      <c r="C78" s="156" t="s">
        <v>164</v>
      </c>
      <c r="D78" s="128">
        <v>1.0</v>
      </c>
      <c r="E78" s="154">
        <f t="shared" si="30"/>
        <v>45686</v>
      </c>
      <c r="F78" s="154"/>
      <c r="G78" s="154">
        <f t="shared" si="31"/>
        <v>45714</v>
      </c>
      <c r="H78" s="154"/>
      <c r="I78" s="154">
        <f t="shared" si="32"/>
        <v>45742</v>
      </c>
      <c r="J78" s="154"/>
      <c r="K78" s="154">
        <f t="shared" si="33"/>
        <v>45770</v>
      </c>
      <c r="L78" s="154"/>
      <c r="M78" s="154">
        <f t="shared" si="34"/>
        <v>45798</v>
      </c>
      <c r="N78" s="154"/>
      <c r="O78" s="154">
        <f t="shared" si="35"/>
        <v>45826</v>
      </c>
      <c r="P78" s="154"/>
      <c r="Q78" s="154"/>
      <c r="R78" s="154"/>
      <c r="S78" s="154"/>
      <c r="T78" s="154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59"/>
      <c r="AF78" s="160"/>
      <c r="AG78" s="161"/>
      <c r="AH78" s="161"/>
      <c r="AI78" s="161"/>
      <c r="AJ78" s="161"/>
      <c r="AK78" s="161"/>
      <c r="AL78" s="161"/>
    </row>
    <row r="79" ht="15.75" customHeight="1">
      <c r="A79" s="155">
        <f t="shared" si="38"/>
        <v>11.3</v>
      </c>
      <c r="B79" s="59"/>
      <c r="C79" s="156" t="s">
        <v>165</v>
      </c>
      <c r="D79" s="128">
        <v>2.0</v>
      </c>
      <c r="E79" s="154">
        <f t="shared" si="30"/>
        <v>45693</v>
      </c>
      <c r="F79" s="154"/>
      <c r="G79" s="154">
        <f t="shared" si="31"/>
        <v>45721</v>
      </c>
      <c r="H79" s="154"/>
      <c r="I79" s="154">
        <f t="shared" si="32"/>
        <v>45749</v>
      </c>
      <c r="J79" s="154"/>
      <c r="K79" s="154">
        <f t="shared" si="33"/>
        <v>45777</v>
      </c>
      <c r="L79" s="154"/>
      <c r="M79" s="154">
        <f t="shared" si="34"/>
        <v>45805</v>
      </c>
      <c r="N79" s="154"/>
      <c r="O79" s="154">
        <f t="shared" si="35"/>
        <v>45833</v>
      </c>
      <c r="P79" s="154"/>
      <c r="Q79" s="154"/>
      <c r="R79" s="154"/>
      <c r="S79" s="154"/>
      <c r="T79" s="154"/>
      <c r="U79" s="167"/>
      <c r="V79" s="167"/>
      <c r="W79" s="167"/>
      <c r="X79" s="167"/>
      <c r="Y79" s="167"/>
      <c r="Z79" s="167"/>
      <c r="AA79" s="167"/>
      <c r="AB79" s="167"/>
      <c r="AC79" s="167"/>
      <c r="AD79" s="167"/>
      <c r="AE79" s="159"/>
      <c r="AF79" s="160"/>
      <c r="AG79" s="161"/>
      <c r="AH79" s="161"/>
      <c r="AI79" s="161"/>
      <c r="AJ79" s="161"/>
      <c r="AK79" s="161"/>
      <c r="AL79" s="161"/>
    </row>
    <row r="80" ht="15.75" customHeight="1">
      <c r="A80" s="155">
        <f>+A77+1</f>
        <v>12.1</v>
      </c>
      <c r="B80" s="181" t="s">
        <v>209</v>
      </c>
      <c r="C80" s="156" t="s">
        <v>163</v>
      </c>
      <c r="D80" s="128">
        <v>5.0</v>
      </c>
      <c r="E80" s="154">
        <f t="shared" si="30"/>
        <v>45714</v>
      </c>
      <c r="F80" s="154"/>
      <c r="G80" s="154">
        <f t="shared" si="31"/>
        <v>45742</v>
      </c>
      <c r="H80" s="154"/>
      <c r="I80" s="154">
        <f t="shared" si="32"/>
        <v>45770</v>
      </c>
      <c r="J80" s="154"/>
      <c r="K80" s="154">
        <f t="shared" si="33"/>
        <v>45798</v>
      </c>
      <c r="L80" s="154"/>
      <c r="M80" s="154">
        <f t="shared" si="34"/>
        <v>45826</v>
      </c>
      <c r="N80" s="154"/>
      <c r="O80" s="154">
        <f t="shared" si="35"/>
        <v>45854</v>
      </c>
      <c r="P80" s="154"/>
      <c r="Q80" s="154"/>
      <c r="R80" s="154"/>
      <c r="S80" s="154"/>
      <c r="T80" s="154"/>
      <c r="U80" s="167"/>
      <c r="V80" s="167"/>
      <c r="W80" s="9"/>
      <c r="X80" s="167"/>
      <c r="Y80" s="167"/>
      <c r="Z80" s="167"/>
      <c r="AA80" s="167"/>
      <c r="AB80" s="167"/>
      <c r="AC80" s="167"/>
      <c r="AD80" s="167"/>
      <c r="AE80" s="159"/>
      <c r="AF80" s="160"/>
      <c r="AG80" s="161"/>
      <c r="AH80" s="161"/>
      <c r="AI80" s="161"/>
      <c r="AJ80" s="161"/>
      <c r="AK80" s="161"/>
      <c r="AL80" s="161"/>
    </row>
    <row r="81" ht="15.75" customHeight="1">
      <c r="A81" s="155">
        <f t="shared" ref="A81:A82" si="39">+A80+0.1</f>
        <v>12.2</v>
      </c>
      <c r="B81" s="54"/>
      <c r="C81" s="156" t="s">
        <v>164</v>
      </c>
      <c r="D81" s="128">
        <v>1.0</v>
      </c>
      <c r="E81" s="154">
        <f t="shared" si="30"/>
        <v>45686</v>
      </c>
      <c r="F81" s="154"/>
      <c r="G81" s="154">
        <f t="shared" si="31"/>
        <v>45714</v>
      </c>
      <c r="H81" s="154"/>
      <c r="I81" s="154">
        <f t="shared" si="32"/>
        <v>45742</v>
      </c>
      <c r="J81" s="154"/>
      <c r="K81" s="154">
        <f t="shared" si="33"/>
        <v>45770</v>
      </c>
      <c r="L81" s="154"/>
      <c r="M81" s="154">
        <f t="shared" si="34"/>
        <v>45798</v>
      </c>
      <c r="N81" s="154"/>
      <c r="O81" s="154">
        <f t="shared" si="35"/>
        <v>45826</v>
      </c>
      <c r="P81" s="154"/>
      <c r="Q81" s="154"/>
      <c r="R81" s="154"/>
      <c r="S81" s="154"/>
      <c r="T81" s="154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59"/>
      <c r="AF81" s="160"/>
      <c r="AG81" s="161"/>
      <c r="AH81" s="161"/>
      <c r="AI81" s="161"/>
      <c r="AJ81" s="161"/>
      <c r="AK81" s="161"/>
      <c r="AL81" s="161"/>
    </row>
    <row r="82" ht="15.75" customHeight="1">
      <c r="A82" s="155">
        <f t="shared" si="39"/>
        <v>12.3</v>
      </c>
      <c r="B82" s="59"/>
      <c r="C82" s="156" t="s">
        <v>165</v>
      </c>
      <c r="D82" s="128">
        <v>2.0</v>
      </c>
      <c r="E82" s="154">
        <f t="shared" si="30"/>
        <v>45693</v>
      </c>
      <c r="F82" s="154"/>
      <c r="G82" s="154">
        <f t="shared" si="31"/>
        <v>45721</v>
      </c>
      <c r="H82" s="154"/>
      <c r="I82" s="154">
        <f t="shared" si="32"/>
        <v>45749</v>
      </c>
      <c r="J82" s="154"/>
      <c r="K82" s="154">
        <f t="shared" si="33"/>
        <v>45777</v>
      </c>
      <c r="L82" s="154"/>
      <c r="M82" s="154">
        <f t="shared" si="34"/>
        <v>45805</v>
      </c>
      <c r="N82" s="154"/>
      <c r="O82" s="154">
        <f t="shared" si="35"/>
        <v>45833</v>
      </c>
      <c r="P82" s="154"/>
      <c r="Q82" s="154"/>
      <c r="R82" s="154"/>
      <c r="S82" s="154"/>
      <c r="T82" s="154"/>
      <c r="U82" s="167"/>
      <c r="V82" s="167"/>
      <c r="W82" s="167"/>
      <c r="X82" s="167"/>
      <c r="Y82" s="167"/>
      <c r="Z82" s="167"/>
      <c r="AA82" s="167"/>
      <c r="AB82" s="167"/>
      <c r="AC82" s="167"/>
      <c r="AD82" s="167"/>
      <c r="AE82" s="159"/>
      <c r="AF82" s="160"/>
      <c r="AG82" s="161"/>
      <c r="AH82" s="161"/>
      <c r="AI82" s="161"/>
      <c r="AJ82" s="161"/>
      <c r="AK82" s="161"/>
      <c r="AL82" s="161"/>
    </row>
    <row r="83" ht="15.75" customHeight="1">
      <c r="A83" s="155">
        <f>+A80+1</f>
        <v>13.1</v>
      </c>
      <c r="B83" s="181" t="s">
        <v>210</v>
      </c>
      <c r="C83" s="156" t="s">
        <v>163</v>
      </c>
      <c r="D83" s="128">
        <v>6.0</v>
      </c>
      <c r="E83" s="154">
        <f t="shared" si="30"/>
        <v>45721</v>
      </c>
      <c r="F83" s="154"/>
      <c r="G83" s="154">
        <f t="shared" si="31"/>
        <v>45749</v>
      </c>
      <c r="H83" s="182"/>
      <c r="I83" s="154">
        <f t="shared" si="32"/>
        <v>45777</v>
      </c>
      <c r="J83" s="182"/>
      <c r="K83" s="154">
        <f t="shared" si="33"/>
        <v>45805</v>
      </c>
      <c r="L83" s="154"/>
      <c r="M83" s="154">
        <f t="shared" si="34"/>
        <v>45833</v>
      </c>
      <c r="N83" s="154"/>
      <c r="O83" s="154">
        <f t="shared" si="35"/>
        <v>45861</v>
      </c>
      <c r="P83" s="154"/>
      <c r="Q83" s="154"/>
      <c r="R83" s="154"/>
      <c r="S83" s="154"/>
      <c r="T83" s="154"/>
      <c r="U83" s="167"/>
      <c r="V83" s="167"/>
      <c r="W83" s="9"/>
      <c r="X83" s="9"/>
      <c r="Y83" s="167"/>
      <c r="Z83" s="9"/>
      <c r="AA83" s="167"/>
      <c r="AB83" s="9"/>
      <c r="AC83" s="167"/>
      <c r="AD83" s="9"/>
      <c r="AE83" s="159"/>
      <c r="AF83" s="160"/>
      <c r="AG83" s="161"/>
      <c r="AH83" s="161"/>
      <c r="AI83" s="161"/>
      <c r="AJ83" s="161"/>
      <c r="AK83" s="161"/>
      <c r="AL83" s="161"/>
    </row>
    <row r="84" ht="15.75" customHeight="1">
      <c r="A84" s="155">
        <f t="shared" ref="A84:A85" si="40">+A83+0.1</f>
        <v>13.2</v>
      </c>
      <c r="B84" s="54"/>
      <c r="C84" s="156" t="s">
        <v>164</v>
      </c>
      <c r="D84" s="128">
        <v>1.0</v>
      </c>
      <c r="E84" s="154">
        <f t="shared" si="30"/>
        <v>45686</v>
      </c>
      <c r="F84" s="154"/>
      <c r="G84" s="154">
        <f t="shared" si="31"/>
        <v>45714</v>
      </c>
      <c r="H84" s="154"/>
      <c r="I84" s="154">
        <f t="shared" si="32"/>
        <v>45742</v>
      </c>
      <c r="J84" s="154"/>
      <c r="K84" s="154">
        <f t="shared" si="33"/>
        <v>45770</v>
      </c>
      <c r="L84" s="154"/>
      <c r="M84" s="154">
        <f t="shared" si="34"/>
        <v>45798</v>
      </c>
      <c r="N84" s="154"/>
      <c r="O84" s="154">
        <f t="shared" si="35"/>
        <v>45826</v>
      </c>
      <c r="P84" s="154"/>
      <c r="Q84" s="154"/>
      <c r="R84" s="154"/>
      <c r="S84" s="154"/>
      <c r="T84" s="154"/>
      <c r="U84" s="167"/>
      <c r="V84" s="167"/>
      <c r="W84" s="167"/>
      <c r="X84" s="167"/>
      <c r="Y84" s="167"/>
      <c r="Z84" s="167"/>
      <c r="AA84" s="167"/>
      <c r="AB84" s="167"/>
      <c r="AC84" s="167"/>
      <c r="AD84" s="167"/>
      <c r="AE84" s="159"/>
      <c r="AF84" s="160"/>
      <c r="AG84" s="161"/>
      <c r="AH84" s="161"/>
      <c r="AI84" s="161"/>
      <c r="AJ84" s="161"/>
      <c r="AK84" s="161"/>
      <c r="AL84" s="161"/>
    </row>
    <row r="85" ht="15.75" customHeight="1">
      <c r="A85" s="155">
        <f t="shared" si="40"/>
        <v>13.3</v>
      </c>
      <c r="B85" s="59"/>
      <c r="C85" s="156" t="s">
        <v>165</v>
      </c>
      <c r="D85" s="128">
        <v>2.0</v>
      </c>
      <c r="E85" s="154">
        <f t="shared" si="30"/>
        <v>45693</v>
      </c>
      <c r="F85" s="154"/>
      <c r="G85" s="154">
        <f t="shared" si="31"/>
        <v>45721</v>
      </c>
      <c r="H85" s="154"/>
      <c r="I85" s="154">
        <f t="shared" si="32"/>
        <v>45749</v>
      </c>
      <c r="J85" s="154"/>
      <c r="K85" s="154">
        <f t="shared" si="33"/>
        <v>45777</v>
      </c>
      <c r="L85" s="154"/>
      <c r="M85" s="154">
        <f t="shared" si="34"/>
        <v>45805</v>
      </c>
      <c r="N85" s="154"/>
      <c r="O85" s="154">
        <f t="shared" si="35"/>
        <v>45833</v>
      </c>
      <c r="P85" s="154"/>
      <c r="Q85" s="154"/>
      <c r="R85" s="154"/>
      <c r="S85" s="154"/>
      <c r="T85" s="154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59"/>
      <c r="AF85" s="160"/>
      <c r="AG85" s="161"/>
      <c r="AH85" s="161"/>
      <c r="AI85" s="161"/>
      <c r="AJ85" s="161"/>
      <c r="AK85" s="161"/>
      <c r="AL85" s="161"/>
    </row>
    <row r="86" ht="15.75" customHeight="1">
      <c r="A86" s="155">
        <f>+A83+1</f>
        <v>14.1</v>
      </c>
      <c r="B86" s="185" t="s">
        <v>211</v>
      </c>
      <c r="C86" s="156" t="s">
        <v>163</v>
      </c>
      <c r="D86" s="128">
        <v>7.0</v>
      </c>
      <c r="E86" s="154">
        <f t="shared" si="30"/>
        <v>45728</v>
      </c>
      <c r="F86" s="182"/>
      <c r="G86" s="154">
        <f t="shared" si="31"/>
        <v>45756</v>
      </c>
      <c r="H86" s="182"/>
      <c r="I86" s="154">
        <f t="shared" si="32"/>
        <v>45784</v>
      </c>
      <c r="J86" s="182"/>
      <c r="K86" s="154">
        <f>+$K$18+(F86*7)</f>
        <v>45763</v>
      </c>
      <c r="L86" s="182"/>
      <c r="M86" s="154">
        <f t="shared" si="34"/>
        <v>45840</v>
      </c>
      <c r="N86" s="182"/>
      <c r="O86" s="154">
        <f t="shared" si="35"/>
        <v>45868</v>
      </c>
      <c r="P86" s="182"/>
      <c r="Q86" s="182"/>
      <c r="R86" s="182"/>
      <c r="S86" s="182"/>
      <c r="T86" s="182"/>
      <c r="U86" s="9"/>
      <c r="V86" s="9"/>
      <c r="W86" s="9"/>
      <c r="X86" s="9"/>
      <c r="Y86" s="9"/>
      <c r="Z86" s="9"/>
      <c r="AA86" s="9"/>
      <c r="AB86" s="9"/>
      <c r="AC86" s="9"/>
      <c r="AD86" s="9"/>
      <c r="AE86" s="119"/>
      <c r="AF86" s="9"/>
      <c r="AG86" s="9"/>
      <c r="AH86" s="9"/>
      <c r="AI86" s="9"/>
      <c r="AJ86" s="9"/>
      <c r="AK86" s="9"/>
      <c r="AL86" s="9"/>
    </row>
    <row r="87" ht="15.75" customHeight="1">
      <c r="A87" s="155">
        <f t="shared" ref="A87:A88" si="41">+A86+0.1</f>
        <v>14.2</v>
      </c>
      <c r="B87" s="54"/>
      <c r="C87" s="156" t="s">
        <v>164</v>
      </c>
      <c r="D87" s="128">
        <v>1.0</v>
      </c>
      <c r="E87" s="154">
        <f t="shared" ref="E87:E88" si="42">+$E$86+(D87*7)</f>
        <v>45735</v>
      </c>
      <c r="F87" s="182"/>
      <c r="G87" s="154">
        <f>G86+(D87*7)</f>
        <v>45763</v>
      </c>
      <c r="H87" s="182"/>
      <c r="I87" s="154">
        <f>+$I$86+(H87*7)</f>
        <v>45784</v>
      </c>
      <c r="J87" s="182"/>
      <c r="K87" s="154">
        <f t="shared" ref="K87:K88" si="43">+$K$86+(D87*7)</f>
        <v>45770</v>
      </c>
      <c r="L87" s="182"/>
      <c r="M87" s="154">
        <f>+$M$86+(D87*7)</f>
        <v>45847</v>
      </c>
      <c r="N87" s="182"/>
      <c r="O87" s="154">
        <f>+$O$86+(D87*7)</f>
        <v>45875</v>
      </c>
      <c r="P87" s="182"/>
      <c r="Q87" s="182"/>
      <c r="R87" s="182"/>
      <c r="S87" s="182"/>
      <c r="T87" s="182"/>
      <c r="U87" s="9"/>
      <c r="V87" s="9"/>
      <c r="W87" s="9"/>
      <c r="X87" s="9"/>
      <c r="Y87" s="9"/>
      <c r="Z87" s="9"/>
      <c r="AA87" s="9"/>
      <c r="AB87" s="9"/>
      <c r="AC87" s="9"/>
      <c r="AD87" s="9"/>
      <c r="AE87" s="119"/>
      <c r="AF87" s="9"/>
      <c r="AG87" s="9"/>
      <c r="AH87" s="9"/>
      <c r="AI87" s="9"/>
      <c r="AJ87" s="9"/>
      <c r="AK87" s="9"/>
      <c r="AL87" s="9"/>
    </row>
    <row r="88" ht="15.75" customHeight="1">
      <c r="A88" s="155">
        <f t="shared" si="41"/>
        <v>14.3</v>
      </c>
      <c r="B88" s="59"/>
      <c r="C88" s="156" t="s">
        <v>165</v>
      </c>
      <c r="D88" s="128">
        <v>2.0</v>
      </c>
      <c r="E88" s="154">
        <f t="shared" si="42"/>
        <v>45742</v>
      </c>
      <c r="F88" s="182"/>
      <c r="G88" s="154">
        <f>+$G$86+(D88*7)</f>
        <v>45770</v>
      </c>
      <c r="H88" s="182"/>
      <c r="I88" s="154">
        <f>+$I$86+(D88*7)</f>
        <v>45798</v>
      </c>
      <c r="J88" s="182"/>
      <c r="K88" s="154">
        <f t="shared" si="43"/>
        <v>45777</v>
      </c>
      <c r="L88" s="182"/>
      <c r="M88" s="154">
        <f>+$M$87+(D88*7)</f>
        <v>45861</v>
      </c>
      <c r="N88" s="182"/>
      <c r="O88" s="154">
        <f>+$O$87+(D88*7)</f>
        <v>45889</v>
      </c>
      <c r="P88" s="182"/>
      <c r="Q88" s="182"/>
      <c r="R88" s="182"/>
      <c r="S88" s="182"/>
      <c r="T88" s="182"/>
      <c r="U88" s="9"/>
      <c r="V88" s="9"/>
      <c r="W88" s="9"/>
      <c r="X88" s="9"/>
      <c r="Y88" s="9"/>
      <c r="Z88" s="9"/>
      <c r="AA88" s="9"/>
      <c r="AB88" s="9"/>
      <c r="AC88" s="9"/>
      <c r="AD88" s="9"/>
      <c r="AE88" s="119"/>
      <c r="AF88" s="9"/>
      <c r="AG88" s="9"/>
      <c r="AH88" s="9"/>
      <c r="AI88" s="9"/>
      <c r="AJ88" s="9"/>
      <c r="AK88" s="9"/>
      <c r="AL88" s="9"/>
    </row>
    <row r="89" ht="15.75" customHeight="1">
      <c r="A89" s="155">
        <v>15.0</v>
      </c>
      <c r="B89" s="165" t="s">
        <v>212</v>
      </c>
      <c r="C89" s="156" t="s">
        <v>165</v>
      </c>
      <c r="D89" s="128">
        <v>12.0</v>
      </c>
      <c r="E89" s="154">
        <f>+E71+(D89*7)</f>
        <v>45777</v>
      </c>
      <c r="F89" s="154"/>
      <c r="G89" s="154">
        <f>+$G$18+(D89*7)</f>
        <v>45791</v>
      </c>
      <c r="H89" s="154"/>
      <c r="I89" s="154">
        <f>+$I$18+(D89*7)</f>
        <v>45819</v>
      </c>
      <c r="J89" s="154"/>
      <c r="K89" s="154">
        <f>+$K$18+(D89*7)</f>
        <v>45847</v>
      </c>
      <c r="L89" s="154"/>
      <c r="M89" s="154">
        <f>+$M$18+(D89*7)</f>
        <v>45875</v>
      </c>
      <c r="N89" s="154"/>
      <c r="O89" s="154">
        <f>+$O$18+(D89*7)</f>
        <v>45903</v>
      </c>
      <c r="P89" s="154"/>
      <c r="Q89" s="154"/>
      <c r="R89" s="154"/>
      <c r="S89" s="154"/>
      <c r="T89" s="154"/>
      <c r="U89" s="167"/>
      <c r="V89" s="167"/>
      <c r="W89" s="167"/>
      <c r="X89" s="167"/>
      <c r="Y89" s="167"/>
      <c r="Z89" s="167"/>
      <c r="AA89" s="167"/>
      <c r="AB89" s="167"/>
      <c r="AC89" s="167"/>
      <c r="AD89" s="167"/>
      <c r="AE89" s="159"/>
      <c r="AF89" s="160"/>
      <c r="AG89" s="161"/>
      <c r="AH89" s="161"/>
      <c r="AI89" s="161"/>
      <c r="AJ89" s="161"/>
      <c r="AK89" s="161"/>
      <c r="AL89" s="161"/>
    </row>
    <row r="90" ht="15.75" customHeight="1">
      <c r="A90" s="125"/>
      <c r="B90" s="125"/>
      <c r="C90" s="125"/>
      <c r="D90" s="125"/>
      <c r="E90" s="125"/>
      <c r="F90" s="125"/>
      <c r="G90" s="186"/>
      <c r="H90" s="186"/>
      <c r="I90" s="125"/>
      <c r="J90" s="125"/>
      <c r="K90" s="125"/>
      <c r="L90" s="125"/>
      <c r="M90" s="125"/>
      <c r="N90" s="125"/>
      <c r="O90" s="125"/>
      <c r="P90" s="125"/>
      <c r="Q90" s="125"/>
      <c r="R90" s="125"/>
      <c r="S90" s="125"/>
      <c r="T90" s="125"/>
      <c r="U90" s="125"/>
      <c r="V90" s="125"/>
      <c r="W90" s="186"/>
      <c r="X90" s="186"/>
      <c r="Y90" s="125"/>
      <c r="Z90" s="125"/>
      <c r="AA90" s="125"/>
      <c r="AB90" s="125"/>
      <c r="AC90" s="125"/>
      <c r="AD90" s="125"/>
      <c r="AE90" s="187"/>
      <c r="AF90" s="125"/>
      <c r="AG90" s="125"/>
      <c r="AH90" s="125"/>
      <c r="AI90" s="125"/>
      <c r="AJ90" s="125"/>
      <c r="AK90" s="125"/>
      <c r="AL90" s="125"/>
    </row>
    <row r="91" ht="15.75" customHeight="1">
      <c r="A91" s="125"/>
      <c r="B91" s="125"/>
      <c r="C91" s="125"/>
      <c r="D91" s="125"/>
      <c r="E91" s="125"/>
      <c r="F91" s="125"/>
      <c r="G91" s="186"/>
      <c r="H91" s="186"/>
      <c r="I91" s="125"/>
      <c r="J91" s="125"/>
      <c r="K91" s="125"/>
      <c r="L91" s="125"/>
      <c r="M91" s="125"/>
      <c r="N91" s="125"/>
      <c r="O91" s="125"/>
      <c r="P91" s="125"/>
      <c r="Q91" s="125"/>
      <c r="R91" s="125"/>
      <c r="S91" s="125"/>
      <c r="T91" s="125"/>
      <c r="U91" s="125"/>
      <c r="V91" s="125"/>
      <c r="W91" s="186"/>
      <c r="X91" s="186"/>
      <c r="Y91" s="125"/>
      <c r="Z91" s="125"/>
      <c r="AA91" s="125"/>
      <c r="AB91" s="125"/>
      <c r="AC91" s="125"/>
      <c r="AD91" s="125"/>
      <c r="AE91" s="187"/>
      <c r="AF91" s="125"/>
      <c r="AG91" s="125"/>
      <c r="AH91" s="125"/>
      <c r="AI91" s="125"/>
      <c r="AJ91" s="125"/>
      <c r="AK91" s="125"/>
      <c r="AL91" s="125"/>
    </row>
    <row r="92" ht="15.75" customHeight="1">
      <c r="A92" s="125"/>
      <c r="B92" s="125"/>
      <c r="C92" s="125"/>
      <c r="D92" s="125"/>
      <c r="E92" s="125"/>
      <c r="F92" s="125"/>
      <c r="G92" s="186"/>
      <c r="H92" s="186"/>
      <c r="I92" s="125"/>
      <c r="J92" s="125"/>
      <c r="K92" s="125"/>
      <c r="L92" s="125"/>
      <c r="M92" s="125"/>
      <c r="N92" s="125"/>
      <c r="O92" s="125"/>
      <c r="P92" s="125"/>
      <c r="Q92" s="125"/>
      <c r="R92" s="125"/>
      <c r="S92" s="125"/>
      <c r="T92" s="125"/>
      <c r="U92" s="125"/>
      <c r="V92" s="125"/>
      <c r="W92" s="186"/>
      <c r="X92" s="186"/>
      <c r="Y92" s="125"/>
      <c r="Z92" s="125"/>
      <c r="AA92" s="125"/>
      <c r="AB92" s="125"/>
      <c r="AC92" s="125"/>
      <c r="AD92" s="125"/>
      <c r="AE92" s="187"/>
      <c r="AF92" s="125"/>
      <c r="AG92" s="125"/>
      <c r="AH92" s="125"/>
      <c r="AI92" s="125"/>
      <c r="AJ92" s="125"/>
      <c r="AK92" s="125"/>
      <c r="AL92" s="125"/>
    </row>
    <row r="93" ht="15.75" customHeight="1">
      <c r="A93" s="125"/>
      <c r="B93" s="125"/>
      <c r="C93" s="125"/>
      <c r="D93" s="125"/>
      <c r="E93" s="125"/>
      <c r="F93" s="125"/>
      <c r="G93" s="186"/>
      <c r="H93" s="186"/>
      <c r="I93" s="125"/>
      <c r="J93" s="125"/>
      <c r="K93" s="125"/>
      <c r="L93" s="125"/>
      <c r="M93" s="125"/>
      <c r="N93" s="125"/>
      <c r="O93" s="125"/>
      <c r="P93" s="125"/>
      <c r="Q93" s="125"/>
      <c r="R93" s="125"/>
      <c r="S93" s="125"/>
      <c r="T93" s="125"/>
      <c r="U93" s="125"/>
      <c r="V93" s="125"/>
      <c r="W93" s="186"/>
      <c r="X93" s="186"/>
      <c r="Y93" s="125"/>
      <c r="Z93" s="125"/>
      <c r="AA93" s="125"/>
      <c r="AB93" s="125"/>
      <c r="AC93" s="125"/>
      <c r="AD93" s="125"/>
      <c r="AE93" s="187"/>
      <c r="AF93" s="125"/>
      <c r="AG93" s="125"/>
      <c r="AH93" s="125"/>
      <c r="AI93" s="125"/>
      <c r="AJ93" s="125"/>
      <c r="AK93" s="125"/>
      <c r="AL93" s="125"/>
    </row>
    <row r="94" ht="15.75" customHeight="1">
      <c r="A94" s="125"/>
      <c r="B94" s="125"/>
      <c r="C94" s="125"/>
      <c r="D94" s="125"/>
      <c r="E94" s="125"/>
      <c r="F94" s="125"/>
      <c r="G94" s="186"/>
      <c r="H94" s="186"/>
      <c r="I94" s="125"/>
      <c r="J94" s="125"/>
      <c r="K94" s="125"/>
      <c r="L94" s="125"/>
      <c r="M94" s="125"/>
      <c r="N94" s="125"/>
      <c r="O94" s="125"/>
      <c r="P94" s="125"/>
      <c r="Q94" s="125"/>
      <c r="R94" s="125"/>
      <c r="S94" s="125"/>
      <c r="T94" s="125"/>
      <c r="U94" s="125"/>
      <c r="V94" s="125"/>
      <c r="W94" s="186"/>
      <c r="X94" s="186"/>
      <c r="Y94" s="125"/>
      <c r="Z94" s="125"/>
      <c r="AA94" s="125"/>
      <c r="AB94" s="125"/>
      <c r="AC94" s="125"/>
      <c r="AD94" s="125"/>
      <c r="AE94" s="187"/>
      <c r="AF94" s="125"/>
      <c r="AG94" s="125"/>
      <c r="AH94" s="125"/>
      <c r="AI94" s="125"/>
      <c r="AJ94" s="125"/>
      <c r="AK94" s="125"/>
      <c r="AL94" s="125"/>
    </row>
    <row r="95" ht="15.75" customHeight="1">
      <c r="A95" s="125"/>
      <c r="B95" s="125"/>
      <c r="C95" s="125"/>
      <c r="D95" s="125"/>
      <c r="E95" s="125"/>
      <c r="F95" s="125"/>
      <c r="G95" s="186"/>
      <c r="H95" s="186"/>
      <c r="I95" s="125"/>
      <c r="J95" s="125"/>
      <c r="K95" s="125"/>
      <c r="L95" s="125"/>
      <c r="M95" s="125"/>
      <c r="N95" s="125"/>
      <c r="O95" s="125"/>
      <c r="P95" s="125"/>
      <c r="Q95" s="125"/>
      <c r="R95" s="125"/>
      <c r="S95" s="125"/>
      <c r="T95" s="125"/>
      <c r="U95" s="125"/>
      <c r="V95" s="125"/>
      <c r="W95" s="186"/>
      <c r="X95" s="186"/>
      <c r="Y95" s="125"/>
      <c r="Z95" s="125"/>
      <c r="AA95" s="125"/>
      <c r="AB95" s="125"/>
      <c r="AC95" s="125"/>
      <c r="AD95" s="125"/>
      <c r="AE95" s="187"/>
      <c r="AF95" s="125"/>
      <c r="AG95" s="125"/>
      <c r="AH95" s="125"/>
      <c r="AI95" s="125"/>
      <c r="AJ95" s="125"/>
      <c r="AK95" s="125"/>
      <c r="AL95" s="125"/>
    </row>
    <row r="96" ht="15.75" customHeight="1">
      <c r="A96" s="125"/>
      <c r="B96" s="125"/>
      <c r="C96" s="125"/>
      <c r="D96" s="125"/>
      <c r="E96" s="125"/>
      <c r="F96" s="125"/>
      <c r="G96" s="186"/>
      <c r="H96" s="186"/>
      <c r="I96" s="125"/>
      <c r="J96" s="125"/>
      <c r="K96" s="125"/>
      <c r="L96" s="125"/>
      <c r="M96" s="125"/>
      <c r="N96" s="125"/>
      <c r="O96" s="125"/>
      <c r="P96" s="125"/>
      <c r="Q96" s="125"/>
      <c r="R96" s="125"/>
      <c r="S96" s="125"/>
      <c r="T96" s="125"/>
      <c r="U96" s="125"/>
      <c r="V96" s="125"/>
      <c r="W96" s="186"/>
      <c r="X96" s="186"/>
      <c r="Y96" s="125"/>
      <c r="Z96" s="125"/>
      <c r="AA96" s="125"/>
      <c r="AB96" s="125"/>
      <c r="AC96" s="125"/>
      <c r="AD96" s="125"/>
      <c r="AE96" s="187"/>
      <c r="AF96" s="125"/>
      <c r="AG96" s="125"/>
      <c r="AH96" s="125"/>
      <c r="AI96" s="125"/>
      <c r="AJ96" s="125"/>
      <c r="AK96" s="125"/>
      <c r="AL96" s="125"/>
    </row>
    <row r="97" ht="15.75" customHeight="1">
      <c r="A97" s="125"/>
      <c r="B97" s="125"/>
      <c r="C97" s="125"/>
      <c r="D97" s="125"/>
      <c r="E97" s="125"/>
      <c r="F97" s="125"/>
      <c r="G97" s="186"/>
      <c r="H97" s="186"/>
      <c r="I97" s="125"/>
      <c r="J97" s="125"/>
      <c r="K97" s="125"/>
      <c r="L97" s="125"/>
      <c r="M97" s="125"/>
      <c r="N97" s="125"/>
      <c r="O97" s="125"/>
      <c r="P97" s="125"/>
      <c r="Q97" s="125"/>
      <c r="R97" s="125"/>
      <c r="S97" s="125"/>
      <c r="T97" s="125"/>
      <c r="U97" s="125"/>
      <c r="V97" s="125"/>
      <c r="W97" s="186"/>
      <c r="X97" s="186"/>
      <c r="Y97" s="125"/>
      <c r="Z97" s="125"/>
      <c r="AA97" s="125"/>
      <c r="AB97" s="125"/>
      <c r="AC97" s="125"/>
      <c r="AD97" s="125"/>
      <c r="AE97" s="187"/>
      <c r="AF97" s="125"/>
      <c r="AG97" s="125"/>
      <c r="AH97" s="125"/>
      <c r="AI97" s="125"/>
      <c r="AJ97" s="125"/>
      <c r="AK97" s="125"/>
      <c r="AL97" s="125"/>
    </row>
    <row r="98" ht="15.75" customHeight="1">
      <c r="A98" s="125"/>
      <c r="B98" s="125"/>
      <c r="C98" s="125"/>
      <c r="D98" s="125"/>
      <c r="E98" s="125"/>
      <c r="F98" s="125"/>
      <c r="G98" s="186"/>
      <c r="H98" s="186"/>
      <c r="I98" s="125"/>
      <c r="J98" s="125"/>
      <c r="K98" s="125"/>
      <c r="L98" s="125"/>
      <c r="M98" s="125"/>
      <c r="N98" s="125"/>
      <c r="O98" s="125"/>
      <c r="P98" s="125"/>
      <c r="Q98" s="125"/>
      <c r="R98" s="125"/>
      <c r="S98" s="125"/>
      <c r="T98" s="125"/>
      <c r="U98" s="125"/>
      <c r="V98" s="125"/>
      <c r="W98" s="186"/>
      <c r="X98" s="186"/>
      <c r="Y98" s="125"/>
      <c r="Z98" s="125"/>
      <c r="AA98" s="125"/>
      <c r="AB98" s="125"/>
      <c r="AC98" s="125"/>
      <c r="AD98" s="125"/>
      <c r="AE98" s="187"/>
      <c r="AF98" s="125"/>
      <c r="AG98" s="125"/>
      <c r="AH98" s="125"/>
      <c r="AI98" s="125"/>
      <c r="AJ98" s="125"/>
      <c r="AK98" s="125"/>
      <c r="AL98" s="125"/>
    </row>
    <row r="99" ht="15.75" customHeight="1">
      <c r="A99" s="125"/>
      <c r="B99" s="125"/>
      <c r="C99" s="125"/>
      <c r="D99" s="125"/>
      <c r="E99" s="125"/>
      <c r="F99" s="125"/>
      <c r="G99" s="186"/>
      <c r="H99" s="186"/>
      <c r="I99" s="125"/>
      <c r="J99" s="125"/>
      <c r="K99" s="125"/>
      <c r="L99" s="125"/>
      <c r="M99" s="125"/>
      <c r="N99" s="125"/>
      <c r="O99" s="125"/>
      <c r="P99" s="125"/>
      <c r="Q99" s="125"/>
      <c r="R99" s="125"/>
      <c r="S99" s="125"/>
      <c r="T99" s="125"/>
      <c r="U99" s="125"/>
      <c r="V99" s="125"/>
      <c r="W99" s="186"/>
      <c r="X99" s="186"/>
      <c r="Y99" s="125"/>
      <c r="Z99" s="125"/>
      <c r="AA99" s="125"/>
      <c r="AB99" s="125"/>
      <c r="AC99" s="125"/>
      <c r="AD99" s="125"/>
      <c r="AE99" s="187"/>
      <c r="AF99" s="125"/>
      <c r="AG99" s="125"/>
      <c r="AH99" s="125"/>
      <c r="AI99" s="125"/>
      <c r="AJ99" s="125"/>
      <c r="AK99" s="125"/>
      <c r="AL99" s="125"/>
    </row>
    <row r="100" ht="15.75" customHeight="1">
      <c r="A100" s="125"/>
      <c r="B100" s="125"/>
      <c r="C100" s="125"/>
      <c r="D100" s="125"/>
      <c r="E100" s="125"/>
      <c r="F100" s="125"/>
      <c r="G100" s="186"/>
      <c r="H100" s="186"/>
      <c r="I100" s="125"/>
      <c r="J100" s="125"/>
      <c r="K100" s="125"/>
      <c r="L100" s="125"/>
      <c r="M100" s="125"/>
      <c r="N100" s="125"/>
      <c r="O100" s="125"/>
      <c r="P100" s="125"/>
      <c r="Q100" s="125"/>
      <c r="R100" s="125"/>
      <c r="S100" s="125"/>
      <c r="T100" s="125"/>
      <c r="U100" s="125"/>
      <c r="V100" s="125"/>
      <c r="W100" s="186"/>
      <c r="X100" s="186"/>
      <c r="Y100" s="125"/>
      <c r="Z100" s="125"/>
      <c r="AA100" s="125"/>
      <c r="AB100" s="125"/>
      <c r="AC100" s="125"/>
      <c r="AD100" s="125"/>
      <c r="AE100" s="187"/>
      <c r="AF100" s="125"/>
      <c r="AG100" s="125"/>
      <c r="AH100" s="125"/>
      <c r="AI100" s="125"/>
      <c r="AJ100" s="125"/>
      <c r="AK100" s="125"/>
      <c r="AL100" s="125"/>
    </row>
    <row r="101" ht="15.75" customHeight="1">
      <c r="A101" s="125"/>
      <c r="B101" s="125"/>
      <c r="C101" s="125"/>
      <c r="D101" s="125"/>
      <c r="E101" s="125"/>
      <c r="F101" s="125"/>
      <c r="G101" s="186"/>
      <c r="H101" s="186"/>
      <c r="I101" s="125"/>
      <c r="J101" s="125"/>
      <c r="K101" s="125"/>
      <c r="L101" s="125"/>
      <c r="M101" s="125"/>
      <c r="N101" s="125"/>
      <c r="O101" s="125"/>
      <c r="P101" s="125"/>
      <c r="Q101" s="125"/>
      <c r="R101" s="125"/>
      <c r="S101" s="125"/>
      <c r="T101" s="125"/>
      <c r="U101" s="125"/>
      <c r="V101" s="125"/>
      <c r="W101" s="186"/>
      <c r="X101" s="186"/>
      <c r="Y101" s="125"/>
      <c r="Z101" s="125"/>
      <c r="AA101" s="125"/>
      <c r="AB101" s="125"/>
      <c r="AC101" s="125"/>
      <c r="AD101" s="125"/>
      <c r="AE101" s="187"/>
      <c r="AF101" s="125"/>
      <c r="AG101" s="125"/>
      <c r="AH101" s="125"/>
      <c r="AI101" s="125"/>
      <c r="AJ101" s="125"/>
      <c r="AK101" s="125"/>
      <c r="AL101" s="125"/>
    </row>
    <row r="102" ht="15.75" customHeight="1">
      <c r="A102" s="125"/>
      <c r="B102" s="125"/>
      <c r="C102" s="125"/>
      <c r="D102" s="125"/>
      <c r="E102" s="125"/>
      <c r="F102" s="125"/>
      <c r="G102" s="186"/>
      <c r="H102" s="186"/>
      <c r="I102" s="125"/>
      <c r="J102" s="125"/>
      <c r="K102" s="125"/>
      <c r="L102" s="125"/>
      <c r="M102" s="125"/>
      <c r="N102" s="125"/>
      <c r="O102" s="125"/>
      <c r="P102" s="125"/>
      <c r="Q102" s="125"/>
      <c r="R102" s="125"/>
      <c r="S102" s="125"/>
      <c r="T102" s="125"/>
      <c r="U102" s="125"/>
      <c r="V102" s="125"/>
      <c r="W102" s="186"/>
      <c r="X102" s="186"/>
      <c r="Y102" s="125"/>
      <c r="Z102" s="125"/>
      <c r="AA102" s="125"/>
      <c r="AB102" s="125"/>
      <c r="AC102" s="125"/>
      <c r="AD102" s="125"/>
      <c r="AE102" s="187"/>
      <c r="AF102" s="125"/>
      <c r="AG102" s="125"/>
      <c r="AH102" s="125"/>
      <c r="AI102" s="125"/>
      <c r="AJ102" s="125"/>
      <c r="AK102" s="125"/>
      <c r="AL102" s="125"/>
    </row>
    <row r="103" ht="15.75" customHeight="1">
      <c r="A103" s="125"/>
      <c r="B103" s="125"/>
      <c r="C103" s="125"/>
      <c r="D103" s="125"/>
      <c r="E103" s="125"/>
      <c r="F103" s="125"/>
      <c r="G103" s="186"/>
      <c r="H103" s="186"/>
      <c r="I103" s="125"/>
      <c r="J103" s="125"/>
      <c r="K103" s="125"/>
      <c r="L103" s="125"/>
      <c r="M103" s="125"/>
      <c r="N103" s="125"/>
      <c r="O103" s="125"/>
      <c r="P103" s="125"/>
      <c r="Q103" s="125"/>
      <c r="R103" s="125"/>
      <c r="S103" s="125"/>
      <c r="T103" s="125"/>
      <c r="U103" s="125"/>
      <c r="V103" s="125"/>
      <c r="W103" s="186"/>
      <c r="X103" s="186"/>
      <c r="Y103" s="125"/>
      <c r="Z103" s="125"/>
      <c r="AA103" s="125"/>
      <c r="AB103" s="125"/>
      <c r="AC103" s="125"/>
      <c r="AD103" s="125"/>
      <c r="AE103" s="187"/>
      <c r="AF103" s="125"/>
      <c r="AG103" s="125"/>
      <c r="AH103" s="125"/>
      <c r="AI103" s="125"/>
      <c r="AJ103" s="125"/>
      <c r="AK103" s="125"/>
      <c r="AL103" s="125"/>
    </row>
    <row r="104" ht="15.75" customHeight="1">
      <c r="A104" s="125"/>
      <c r="B104" s="125"/>
      <c r="C104" s="125"/>
      <c r="D104" s="125"/>
      <c r="E104" s="125"/>
      <c r="F104" s="125"/>
      <c r="G104" s="186"/>
      <c r="H104" s="186"/>
      <c r="I104" s="125"/>
      <c r="J104" s="125"/>
      <c r="K104" s="125"/>
      <c r="L104" s="125"/>
      <c r="M104" s="125"/>
      <c r="N104" s="125"/>
      <c r="O104" s="125"/>
      <c r="P104" s="125"/>
      <c r="Q104" s="125"/>
      <c r="R104" s="125"/>
      <c r="S104" s="125"/>
      <c r="T104" s="125"/>
      <c r="U104" s="125"/>
      <c r="V104" s="125"/>
      <c r="W104" s="186"/>
      <c r="X104" s="186"/>
      <c r="Y104" s="125"/>
      <c r="Z104" s="125"/>
      <c r="AA104" s="125"/>
      <c r="AB104" s="125"/>
      <c r="AC104" s="125"/>
      <c r="AD104" s="125"/>
      <c r="AE104" s="187"/>
      <c r="AF104" s="125"/>
      <c r="AG104" s="125"/>
      <c r="AH104" s="125"/>
      <c r="AI104" s="125"/>
      <c r="AJ104" s="125"/>
      <c r="AK104" s="125"/>
      <c r="AL104" s="125"/>
    </row>
    <row r="105" ht="15.75" customHeight="1">
      <c r="A105" s="125"/>
      <c r="B105" s="125"/>
      <c r="C105" s="125"/>
      <c r="D105" s="125"/>
      <c r="E105" s="125"/>
      <c r="F105" s="125"/>
      <c r="G105" s="186"/>
      <c r="H105" s="186"/>
      <c r="I105" s="125"/>
      <c r="J105" s="125"/>
      <c r="K105" s="125"/>
      <c r="L105" s="125"/>
      <c r="M105" s="125"/>
      <c r="N105" s="125"/>
      <c r="O105" s="125"/>
      <c r="P105" s="125"/>
      <c r="Q105" s="125"/>
      <c r="R105" s="125"/>
      <c r="S105" s="125"/>
      <c r="T105" s="125"/>
      <c r="U105" s="125"/>
      <c r="V105" s="125"/>
      <c r="W105" s="186"/>
      <c r="X105" s="186"/>
      <c r="Y105" s="125"/>
      <c r="Z105" s="125"/>
      <c r="AA105" s="125"/>
      <c r="AB105" s="125"/>
      <c r="AC105" s="125"/>
      <c r="AD105" s="125"/>
      <c r="AE105" s="187"/>
      <c r="AF105" s="125"/>
      <c r="AG105" s="125"/>
      <c r="AH105" s="125"/>
      <c r="AI105" s="125"/>
      <c r="AJ105" s="125"/>
      <c r="AK105" s="125"/>
      <c r="AL105" s="125"/>
    </row>
    <row r="106" ht="15.75" customHeight="1">
      <c r="A106" s="125"/>
      <c r="B106" s="125"/>
      <c r="C106" s="125"/>
      <c r="D106" s="125"/>
      <c r="E106" s="125"/>
      <c r="F106" s="125"/>
      <c r="G106" s="186"/>
      <c r="H106" s="186"/>
      <c r="I106" s="125"/>
      <c r="J106" s="125"/>
      <c r="K106" s="125"/>
      <c r="L106" s="125"/>
      <c r="M106" s="125"/>
      <c r="N106" s="125"/>
      <c r="O106" s="125"/>
      <c r="P106" s="125"/>
      <c r="Q106" s="125"/>
      <c r="R106" s="125"/>
      <c r="S106" s="125"/>
      <c r="T106" s="125"/>
      <c r="U106" s="125"/>
      <c r="V106" s="125"/>
      <c r="W106" s="186"/>
      <c r="X106" s="186"/>
      <c r="Y106" s="125"/>
      <c r="Z106" s="125"/>
      <c r="AA106" s="125"/>
      <c r="AB106" s="125"/>
      <c r="AC106" s="125"/>
      <c r="AD106" s="125"/>
      <c r="AE106" s="187"/>
      <c r="AF106" s="125"/>
      <c r="AG106" s="125"/>
      <c r="AH106" s="125"/>
      <c r="AI106" s="125"/>
      <c r="AJ106" s="125"/>
      <c r="AK106" s="125"/>
      <c r="AL106" s="125"/>
    </row>
    <row r="107" ht="15.75" customHeight="1">
      <c r="A107" s="125"/>
      <c r="B107" s="125"/>
      <c r="C107" s="125"/>
      <c r="D107" s="125"/>
      <c r="E107" s="125"/>
      <c r="F107" s="125"/>
      <c r="G107" s="186"/>
      <c r="H107" s="186"/>
      <c r="I107" s="125"/>
      <c r="J107" s="125"/>
      <c r="K107" s="125"/>
      <c r="L107" s="125"/>
      <c r="M107" s="125"/>
      <c r="N107" s="125"/>
      <c r="O107" s="125"/>
      <c r="P107" s="125"/>
      <c r="Q107" s="125"/>
      <c r="R107" s="125"/>
      <c r="S107" s="125"/>
      <c r="T107" s="125"/>
      <c r="U107" s="125"/>
      <c r="V107" s="125"/>
      <c r="W107" s="186"/>
      <c r="X107" s="186"/>
      <c r="Y107" s="125"/>
      <c r="Z107" s="125"/>
      <c r="AA107" s="125"/>
      <c r="AB107" s="125"/>
      <c r="AC107" s="125"/>
      <c r="AD107" s="125"/>
      <c r="AE107" s="187"/>
      <c r="AF107" s="125"/>
      <c r="AG107" s="125"/>
      <c r="AH107" s="125"/>
      <c r="AI107" s="125"/>
      <c r="AJ107" s="125"/>
      <c r="AK107" s="125"/>
      <c r="AL107" s="125"/>
    </row>
    <row r="108" ht="15.75" customHeight="1">
      <c r="A108" s="125"/>
      <c r="B108" s="125"/>
      <c r="C108" s="125"/>
      <c r="D108" s="125"/>
      <c r="E108" s="125"/>
      <c r="F108" s="125"/>
      <c r="G108" s="186"/>
      <c r="H108" s="186"/>
      <c r="I108" s="125"/>
      <c r="J108" s="125"/>
      <c r="K108" s="125"/>
      <c r="L108" s="125"/>
      <c r="M108" s="125"/>
      <c r="N108" s="125"/>
      <c r="O108" s="125"/>
      <c r="P108" s="125"/>
      <c r="Q108" s="125"/>
      <c r="R108" s="125"/>
      <c r="S108" s="125"/>
      <c r="T108" s="125"/>
      <c r="U108" s="125"/>
      <c r="V108" s="125"/>
      <c r="W108" s="186"/>
      <c r="X108" s="186"/>
      <c r="Y108" s="125"/>
      <c r="Z108" s="125"/>
      <c r="AA108" s="125"/>
      <c r="AB108" s="125"/>
      <c r="AC108" s="125"/>
      <c r="AD108" s="125"/>
      <c r="AE108" s="187"/>
      <c r="AF108" s="125"/>
      <c r="AG108" s="125"/>
      <c r="AH108" s="125"/>
      <c r="AI108" s="125"/>
      <c r="AJ108" s="125"/>
      <c r="AK108" s="125"/>
      <c r="AL108" s="125"/>
    </row>
    <row r="109" ht="15.75" customHeight="1">
      <c r="A109" s="125"/>
      <c r="B109" s="125"/>
      <c r="C109" s="125"/>
      <c r="D109" s="125"/>
      <c r="E109" s="125"/>
      <c r="F109" s="125"/>
      <c r="G109" s="186"/>
      <c r="H109" s="186"/>
      <c r="I109" s="125"/>
      <c r="J109" s="125"/>
      <c r="K109" s="125"/>
      <c r="L109" s="125"/>
      <c r="M109" s="125"/>
      <c r="N109" s="125"/>
      <c r="O109" s="125"/>
      <c r="P109" s="125"/>
      <c r="Q109" s="125"/>
      <c r="R109" s="125"/>
      <c r="S109" s="125"/>
      <c r="T109" s="125"/>
      <c r="U109" s="125"/>
      <c r="V109" s="125"/>
      <c r="W109" s="186"/>
      <c r="X109" s="186"/>
      <c r="Y109" s="125"/>
      <c r="Z109" s="125"/>
      <c r="AA109" s="125"/>
      <c r="AB109" s="125"/>
      <c r="AC109" s="125"/>
      <c r="AD109" s="125"/>
      <c r="AE109" s="187"/>
      <c r="AF109" s="125"/>
      <c r="AG109" s="125"/>
      <c r="AH109" s="125"/>
      <c r="AI109" s="125"/>
      <c r="AJ109" s="125"/>
      <c r="AK109" s="125"/>
      <c r="AL109" s="125"/>
    </row>
    <row r="110" ht="15.75" customHeight="1">
      <c r="A110" s="125"/>
      <c r="B110" s="125"/>
      <c r="C110" s="125"/>
      <c r="D110" s="125"/>
      <c r="E110" s="125"/>
      <c r="F110" s="125"/>
      <c r="G110" s="186"/>
      <c r="H110" s="186"/>
      <c r="I110" s="125"/>
      <c r="J110" s="125"/>
      <c r="K110" s="125"/>
      <c r="L110" s="125"/>
      <c r="M110" s="125"/>
      <c r="N110" s="125"/>
      <c r="O110" s="125"/>
      <c r="P110" s="125"/>
      <c r="Q110" s="125"/>
      <c r="R110" s="125"/>
      <c r="S110" s="125"/>
      <c r="T110" s="125"/>
      <c r="U110" s="125"/>
      <c r="V110" s="125"/>
      <c r="W110" s="186"/>
      <c r="X110" s="186"/>
      <c r="Y110" s="125"/>
      <c r="Z110" s="125"/>
      <c r="AA110" s="125"/>
      <c r="AB110" s="125"/>
      <c r="AC110" s="125"/>
      <c r="AD110" s="125"/>
      <c r="AE110" s="187"/>
      <c r="AF110" s="125"/>
      <c r="AG110" s="125"/>
      <c r="AH110" s="125"/>
      <c r="AI110" s="125"/>
      <c r="AJ110" s="125"/>
      <c r="AK110" s="125"/>
      <c r="AL110" s="125"/>
    </row>
    <row r="111" ht="15.75" customHeight="1">
      <c r="A111" s="125"/>
      <c r="B111" s="125"/>
      <c r="C111" s="125"/>
      <c r="D111" s="125"/>
      <c r="E111" s="125"/>
      <c r="F111" s="125"/>
      <c r="G111" s="186"/>
      <c r="H111" s="186"/>
      <c r="I111" s="125"/>
      <c r="J111" s="125"/>
      <c r="K111" s="125"/>
      <c r="L111" s="125"/>
      <c r="M111" s="125"/>
      <c r="N111" s="125"/>
      <c r="O111" s="125"/>
      <c r="P111" s="125"/>
      <c r="Q111" s="125"/>
      <c r="R111" s="125"/>
      <c r="S111" s="125"/>
      <c r="T111" s="125"/>
      <c r="U111" s="125"/>
      <c r="V111" s="125"/>
      <c r="W111" s="186"/>
      <c r="X111" s="186"/>
      <c r="Y111" s="125"/>
      <c r="Z111" s="125"/>
      <c r="AA111" s="125"/>
      <c r="AB111" s="125"/>
      <c r="AC111" s="125"/>
      <c r="AD111" s="125"/>
      <c r="AE111" s="187"/>
      <c r="AF111" s="125"/>
      <c r="AG111" s="125"/>
      <c r="AH111" s="125"/>
      <c r="AI111" s="125"/>
      <c r="AJ111" s="125"/>
      <c r="AK111" s="125"/>
      <c r="AL111" s="125"/>
    </row>
    <row r="112" ht="15.75" customHeight="1">
      <c r="A112" s="125"/>
      <c r="B112" s="125"/>
      <c r="C112" s="125"/>
      <c r="D112" s="125"/>
      <c r="E112" s="125"/>
      <c r="F112" s="125"/>
      <c r="G112" s="186"/>
      <c r="H112" s="186"/>
      <c r="I112" s="125"/>
      <c r="J112" s="125"/>
      <c r="K112" s="125"/>
      <c r="L112" s="125"/>
      <c r="M112" s="125"/>
      <c r="N112" s="125"/>
      <c r="O112" s="125"/>
      <c r="P112" s="125"/>
      <c r="Q112" s="125"/>
      <c r="R112" s="125"/>
      <c r="S112" s="125"/>
      <c r="T112" s="125"/>
      <c r="U112" s="125"/>
      <c r="V112" s="125"/>
      <c r="W112" s="186"/>
      <c r="X112" s="186"/>
      <c r="Y112" s="125"/>
      <c r="Z112" s="125"/>
      <c r="AA112" s="125"/>
      <c r="AB112" s="125"/>
      <c r="AC112" s="125"/>
      <c r="AD112" s="125"/>
      <c r="AE112" s="187"/>
      <c r="AF112" s="125"/>
      <c r="AG112" s="125"/>
      <c r="AH112" s="125"/>
      <c r="AI112" s="125"/>
      <c r="AJ112" s="125"/>
      <c r="AK112" s="125"/>
      <c r="AL112" s="125"/>
    </row>
    <row r="113" ht="15.75" customHeight="1">
      <c r="A113" s="125"/>
      <c r="B113" s="125"/>
      <c r="C113" s="125"/>
      <c r="D113" s="125"/>
      <c r="E113" s="125"/>
      <c r="F113" s="125"/>
      <c r="G113" s="186"/>
      <c r="H113" s="186"/>
      <c r="I113" s="125"/>
      <c r="J113" s="125"/>
      <c r="K113" s="125"/>
      <c r="L113" s="125"/>
      <c r="M113" s="125"/>
      <c r="N113" s="125"/>
      <c r="O113" s="125"/>
      <c r="P113" s="125"/>
      <c r="Q113" s="125"/>
      <c r="R113" s="125"/>
      <c r="S113" s="125"/>
      <c r="T113" s="125"/>
      <c r="U113" s="125"/>
      <c r="V113" s="125"/>
      <c r="W113" s="186"/>
      <c r="X113" s="186"/>
      <c r="Y113" s="125"/>
      <c r="Z113" s="125"/>
      <c r="AA113" s="125"/>
      <c r="AB113" s="125"/>
      <c r="AC113" s="125"/>
      <c r="AD113" s="125"/>
      <c r="AE113" s="187"/>
      <c r="AF113" s="125"/>
      <c r="AG113" s="125"/>
      <c r="AH113" s="125"/>
      <c r="AI113" s="125"/>
      <c r="AJ113" s="125"/>
      <c r="AK113" s="125"/>
      <c r="AL113" s="125"/>
    </row>
    <row r="114" ht="15.75" customHeight="1">
      <c r="A114" s="125"/>
      <c r="B114" s="125"/>
      <c r="C114" s="125"/>
      <c r="D114" s="125"/>
      <c r="E114" s="125"/>
      <c r="F114" s="125"/>
      <c r="G114" s="186"/>
      <c r="H114" s="186"/>
      <c r="I114" s="125"/>
      <c r="J114" s="125"/>
      <c r="K114" s="125"/>
      <c r="L114" s="125"/>
      <c r="M114" s="125"/>
      <c r="N114" s="125"/>
      <c r="O114" s="125"/>
      <c r="P114" s="125"/>
      <c r="Q114" s="125"/>
      <c r="R114" s="125"/>
      <c r="S114" s="125"/>
      <c r="T114" s="125"/>
      <c r="U114" s="125"/>
      <c r="V114" s="125"/>
      <c r="W114" s="186"/>
      <c r="X114" s="186"/>
      <c r="Y114" s="125"/>
      <c r="Z114" s="125"/>
      <c r="AA114" s="125"/>
      <c r="AB114" s="125"/>
      <c r="AC114" s="125"/>
      <c r="AD114" s="125"/>
      <c r="AE114" s="187"/>
      <c r="AF114" s="125"/>
      <c r="AG114" s="125"/>
      <c r="AH114" s="125"/>
      <c r="AI114" s="125"/>
      <c r="AJ114" s="125"/>
      <c r="AK114" s="125"/>
      <c r="AL114" s="125"/>
    </row>
    <row r="115" ht="15.75" customHeight="1">
      <c r="A115" s="125"/>
      <c r="B115" s="125"/>
      <c r="C115" s="125"/>
      <c r="D115" s="125"/>
      <c r="E115" s="125"/>
      <c r="F115" s="125"/>
      <c r="G115" s="186"/>
      <c r="H115" s="186"/>
      <c r="I115" s="125"/>
      <c r="J115" s="125"/>
      <c r="K115" s="125"/>
      <c r="L115" s="125"/>
      <c r="M115" s="125"/>
      <c r="N115" s="125"/>
      <c r="O115" s="125"/>
      <c r="P115" s="125"/>
      <c r="Q115" s="125"/>
      <c r="R115" s="125"/>
      <c r="S115" s="125"/>
      <c r="T115" s="125"/>
      <c r="U115" s="125"/>
      <c r="V115" s="125"/>
      <c r="W115" s="186"/>
      <c r="X115" s="186"/>
      <c r="Y115" s="125"/>
      <c r="Z115" s="125"/>
      <c r="AA115" s="125"/>
      <c r="AB115" s="125"/>
      <c r="AC115" s="125"/>
      <c r="AD115" s="125"/>
      <c r="AE115" s="187"/>
      <c r="AF115" s="125"/>
      <c r="AG115" s="125"/>
      <c r="AH115" s="125"/>
      <c r="AI115" s="125"/>
      <c r="AJ115" s="125"/>
      <c r="AK115" s="125"/>
      <c r="AL115" s="125"/>
    </row>
    <row r="116" ht="15.75" customHeight="1">
      <c r="A116" s="125"/>
      <c r="B116" s="125"/>
      <c r="C116" s="125"/>
      <c r="D116" s="125"/>
      <c r="E116" s="125"/>
      <c r="F116" s="125"/>
      <c r="G116" s="186"/>
      <c r="H116" s="186"/>
      <c r="I116" s="125"/>
      <c r="J116" s="125"/>
      <c r="K116" s="125"/>
      <c r="L116" s="125"/>
      <c r="M116" s="125"/>
      <c r="N116" s="125"/>
      <c r="O116" s="125"/>
      <c r="P116" s="125"/>
      <c r="Q116" s="125"/>
      <c r="R116" s="125"/>
      <c r="S116" s="125"/>
      <c r="T116" s="125"/>
      <c r="U116" s="125"/>
      <c r="V116" s="125"/>
      <c r="W116" s="186"/>
      <c r="X116" s="186"/>
      <c r="Y116" s="125"/>
      <c r="Z116" s="125"/>
      <c r="AA116" s="125"/>
      <c r="AB116" s="125"/>
      <c r="AC116" s="125"/>
      <c r="AD116" s="125"/>
      <c r="AE116" s="187"/>
      <c r="AF116" s="125"/>
      <c r="AG116" s="125"/>
      <c r="AH116" s="125"/>
      <c r="AI116" s="125"/>
      <c r="AJ116" s="125"/>
      <c r="AK116" s="125"/>
      <c r="AL116" s="125"/>
    </row>
    <row r="117" ht="15.75" customHeight="1">
      <c r="A117" s="125"/>
      <c r="B117" s="125"/>
      <c r="C117" s="125"/>
      <c r="D117" s="125"/>
      <c r="E117" s="125"/>
      <c r="F117" s="125"/>
      <c r="G117" s="186"/>
      <c r="H117" s="186"/>
      <c r="I117" s="125"/>
      <c r="J117" s="125"/>
      <c r="K117" s="125"/>
      <c r="L117" s="125"/>
      <c r="M117" s="125"/>
      <c r="N117" s="125"/>
      <c r="O117" s="125"/>
      <c r="P117" s="125"/>
      <c r="Q117" s="125"/>
      <c r="R117" s="125"/>
      <c r="S117" s="125"/>
      <c r="T117" s="125"/>
      <c r="U117" s="125"/>
      <c r="V117" s="125"/>
      <c r="W117" s="186"/>
      <c r="X117" s="186"/>
      <c r="Y117" s="125"/>
      <c r="Z117" s="125"/>
      <c r="AA117" s="125"/>
      <c r="AB117" s="125"/>
      <c r="AC117" s="125"/>
      <c r="AD117" s="125"/>
      <c r="AE117" s="187"/>
      <c r="AF117" s="125"/>
      <c r="AG117" s="125"/>
      <c r="AH117" s="125"/>
      <c r="AI117" s="125"/>
      <c r="AJ117" s="125"/>
      <c r="AK117" s="125"/>
      <c r="AL117" s="125"/>
    </row>
    <row r="118" ht="15.75" customHeight="1">
      <c r="A118" s="125"/>
      <c r="B118" s="125"/>
      <c r="C118" s="125"/>
      <c r="D118" s="125"/>
      <c r="E118" s="125"/>
      <c r="F118" s="125"/>
      <c r="G118" s="186"/>
      <c r="H118" s="186"/>
      <c r="I118" s="125"/>
      <c r="J118" s="125"/>
      <c r="K118" s="125"/>
      <c r="L118" s="125"/>
      <c r="M118" s="125"/>
      <c r="N118" s="125"/>
      <c r="O118" s="125"/>
      <c r="P118" s="125"/>
      <c r="Q118" s="125"/>
      <c r="R118" s="125"/>
      <c r="S118" s="125"/>
      <c r="T118" s="125"/>
      <c r="U118" s="125"/>
      <c r="V118" s="125"/>
      <c r="W118" s="186"/>
      <c r="X118" s="186"/>
      <c r="Y118" s="125"/>
      <c r="Z118" s="125"/>
      <c r="AA118" s="125"/>
      <c r="AB118" s="125"/>
      <c r="AC118" s="125"/>
      <c r="AD118" s="125"/>
      <c r="AE118" s="187"/>
      <c r="AF118" s="125"/>
      <c r="AG118" s="125"/>
      <c r="AH118" s="125"/>
      <c r="AI118" s="125"/>
      <c r="AJ118" s="125"/>
      <c r="AK118" s="125"/>
      <c r="AL118" s="125"/>
    </row>
    <row r="119" ht="15.75" customHeight="1">
      <c r="A119" s="125"/>
      <c r="B119" s="125"/>
      <c r="C119" s="125"/>
      <c r="D119" s="125"/>
      <c r="E119" s="125"/>
      <c r="F119" s="125"/>
      <c r="G119" s="186"/>
      <c r="H119" s="186"/>
      <c r="I119" s="125"/>
      <c r="J119" s="125"/>
      <c r="K119" s="125"/>
      <c r="L119" s="125"/>
      <c r="M119" s="125"/>
      <c r="N119" s="125"/>
      <c r="O119" s="125"/>
      <c r="P119" s="125"/>
      <c r="Q119" s="125"/>
      <c r="R119" s="125"/>
      <c r="S119" s="125"/>
      <c r="T119" s="125"/>
      <c r="U119" s="125"/>
      <c r="V119" s="125"/>
      <c r="W119" s="186"/>
      <c r="X119" s="186"/>
      <c r="Y119" s="125"/>
      <c r="Z119" s="125"/>
      <c r="AA119" s="125"/>
      <c r="AB119" s="125"/>
      <c r="AC119" s="125"/>
      <c r="AD119" s="125"/>
      <c r="AE119" s="187"/>
      <c r="AF119" s="125"/>
      <c r="AG119" s="125"/>
      <c r="AH119" s="125"/>
      <c r="AI119" s="125"/>
      <c r="AJ119" s="125"/>
      <c r="AK119" s="125"/>
      <c r="AL119" s="125"/>
    </row>
    <row r="120" ht="15.75" customHeight="1">
      <c r="A120" s="125"/>
      <c r="B120" s="125"/>
      <c r="C120" s="125"/>
      <c r="D120" s="125"/>
      <c r="E120" s="125"/>
      <c r="F120" s="125"/>
      <c r="G120" s="186"/>
      <c r="H120" s="186"/>
      <c r="I120" s="125"/>
      <c r="J120" s="125"/>
      <c r="K120" s="125"/>
      <c r="L120" s="125"/>
      <c r="M120" s="125"/>
      <c r="N120" s="125"/>
      <c r="O120" s="125"/>
      <c r="P120" s="125"/>
      <c r="Q120" s="125"/>
      <c r="R120" s="125"/>
      <c r="S120" s="125"/>
      <c r="T120" s="125"/>
      <c r="U120" s="125"/>
      <c r="V120" s="125"/>
      <c r="W120" s="186"/>
      <c r="X120" s="186"/>
      <c r="Y120" s="125"/>
      <c r="Z120" s="125"/>
      <c r="AA120" s="125"/>
      <c r="AB120" s="125"/>
      <c r="AC120" s="125"/>
      <c r="AD120" s="125"/>
      <c r="AE120" s="187"/>
      <c r="AF120" s="125"/>
      <c r="AG120" s="125"/>
      <c r="AH120" s="125"/>
      <c r="AI120" s="125"/>
      <c r="AJ120" s="125"/>
      <c r="AK120" s="125"/>
      <c r="AL120" s="125"/>
    </row>
    <row r="121" ht="15.75" customHeight="1">
      <c r="A121" s="125"/>
      <c r="B121" s="125"/>
      <c r="C121" s="125"/>
      <c r="D121" s="125"/>
      <c r="E121" s="125"/>
      <c r="F121" s="125"/>
      <c r="G121" s="186"/>
      <c r="H121" s="186"/>
      <c r="I121" s="125"/>
      <c r="J121" s="125"/>
      <c r="K121" s="125"/>
      <c r="L121" s="125"/>
      <c r="M121" s="125"/>
      <c r="N121" s="125"/>
      <c r="O121" s="125"/>
      <c r="P121" s="125"/>
      <c r="Q121" s="125"/>
      <c r="R121" s="125"/>
      <c r="S121" s="125"/>
      <c r="T121" s="125"/>
      <c r="U121" s="125"/>
      <c r="V121" s="125"/>
      <c r="W121" s="186"/>
      <c r="X121" s="186"/>
      <c r="Y121" s="125"/>
      <c r="Z121" s="125"/>
      <c r="AA121" s="125"/>
      <c r="AB121" s="125"/>
      <c r="AC121" s="125"/>
      <c r="AD121" s="125"/>
      <c r="AE121" s="187"/>
      <c r="AF121" s="125"/>
      <c r="AG121" s="125"/>
      <c r="AH121" s="125"/>
      <c r="AI121" s="125"/>
      <c r="AJ121" s="125"/>
      <c r="AK121" s="125"/>
      <c r="AL121" s="125"/>
    </row>
    <row r="122" ht="15.75" customHeight="1">
      <c r="A122" s="125"/>
      <c r="B122" s="125"/>
      <c r="C122" s="125"/>
      <c r="D122" s="125"/>
      <c r="E122" s="125"/>
      <c r="F122" s="125"/>
      <c r="G122" s="186"/>
      <c r="H122" s="186"/>
      <c r="I122" s="125"/>
      <c r="J122" s="125"/>
      <c r="K122" s="125"/>
      <c r="L122" s="125"/>
      <c r="M122" s="125"/>
      <c r="N122" s="125"/>
      <c r="O122" s="125"/>
      <c r="P122" s="125"/>
      <c r="Q122" s="125"/>
      <c r="R122" s="125"/>
      <c r="S122" s="125"/>
      <c r="T122" s="125"/>
      <c r="U122" s="125"/>
      <c r="V122" s="125"/>
      <c r="W122" s="186"/>
      <c r="X122" s="186"/>
      <c r="Y122" s="125"/>
      <c r="Z122" s="125"/>
      <c r="AA122" s="125"/>
      <c r="AB122" s="125"/>
      <c r="AC122" s="125"/>
      <c r="AD122" s="125"/>
      <c r="AE122" s="187"/>
      <c r="AF122" s="125"/>
      <c r="AG122" s="125"/>
      <c r="AH122" s="125"/>
      <c r="AI122" s="125"/>
      <c r="AJ122" s="125"/>
      <c r="AK122" s="125"/>
      <c r="AL122" s="125"/>
    </row>
    <row r="123" ht="15.75" customHeight="1">
      <c r="A123" s="125"/>
      <c r="B123" s="125"/>
      <c r="C123" s="125"/>
      <c r="D123" s="125"/>
      <c r="E123" s="125"/>
      <c r="F123" s="125"/>
      <c r="G123" s="186"/>
      <c r="H123" s="186"/>
      <c r="I123" s="125"/>
      <c r="J123" s="125"/>
      <c r="K123" s="125"/>
      <c r="L123" s="125"/>
      <c r="M123" s="125"/>
      <c r="N123" s="125"/>
      <c r="O123" s="125"/>
      <c r="P123" s="125"/>
      <c r="Q123" s="125"/>
      <c r="R123" s="125"/>
      <c r="S123" s="125"/>
      <c r="T123" s="125"/>
      <c r="U123" s="125"/>
      <c r="V123" s="125"/>
      <c r="W123" s="186"/>
      <c r="X123" s="186"/>
      <c r="Y123" s="125"/>
      <c r="Z123" s="125"/>
      <c r="AA123" s="125"/>
      <c r="AB123" s="125"/>
      <c r="AC123" s="125"/>
      <c r="AD123" s="125"/>
      <c r="AE123" s="187"/>
      <c r="AF123" s="125"/>
      <c r="AG123" s="125"/>
      <c r="AH123" s="125"/>
      <c r="AI123" s="125"/>
      <c r="AJ123" s="125"/>
      <c r="AK123" s="125"/>
      <c r="AL123" s="125"/>
    </row>
    <row r="124" ht="15.75" customHeight="1">
      <c r="A124" s="125"/>
      <c r="B124" s="125"/>
      <c r="C124" s="125"/>
      <c r="D124" s="125"/>
      <c r="E124" s="125"/>
      <c r="F124" s="125"/>
      <c r="G124" s="186"/>
      <c r="H124" s="186"/>
      <c r="I124" s="125"/>
      <c r="J124" s="125"/>
      <c r="K124" s="125"/>
      <c r="L124" s="125"/>
      <c r="M124" s="125"/>
      <c r="N124" s="125"/>
      <c r="O124" s="125"/>
      <c r="P124" s="125"/>
      <c r="Q124" s="125"/>
      <c r="R124" s="125"/>
      <c r="S124" s="125"/>
      <c r="T124" s="125"/>
      <c r="U124" s="125"/>
      <c r="V124" s="125"/>
      <c r="W124" s="186"/>
      <c r="X124" s="186"/>
      <c r="Y124" s="125"/>
      <c r="Z124" s="125"/>
      <c r="AA124" s="125"/>
      <c r="AB124" s="125"/>
      <c r="AC124" s="125"/>
      <c r="AD124" s="125"/>
      <c r="AE124" s="187"/>
      <c r="AF124" s="125"/>
      <c r="AG124" s="125"/>
      <c r="AH124" s="125"/>
      <c r="AI124" s="125"/>
      <c r="AJ124" s="125"/>
      <c r="AK124" s="125"/>
      <c r="AL124" s="125"/>
    </row>
    <row r="125" ht="15.75" customHeight="1">
      <c r="A125" s="125"/>
      <c r="B125" s="125"/>
      <c r="C125" s="125"/>
      <c r="D125" s="125"/>
      <c r="E125" s="125"/>
      <c r="F125" s="125"/>
      <c r="G125" s="186"/>
      <c r="H125" s="186"/>
      <c r="I125" s="125"/>
      <c r="J125" s="125"/>
      <c r="K125" s="125"/>
      <c r="L125" s="125"/>
      <c r="M125" s="125"/>
      <c r="N125" s="125"/>
      <c r="O125" s="125"/>
      <c r="P125" s="125"/>
      <c r="Q125" s="125"/>
      <c r="R125" s="125"/>
      <c r="S125" s="125"/>
      <c r="T125" s="125"/>
      <c r="U125" s="125"/>
      <c r="V125" s="125"/>
      <c r="W125" s="186"/>
      <c r="X125" s="186"/>
      <c r="Y125" s="125"/>
      <c r="Z125" s="125"/>
      <c r="AA125" s="125"/>
      <c r="AB125" s="125"/>
      <c r="AC125" s="125"/>
      <c r="AD125" s="125"/>
      <c r="AE125" s="187"/>
      <c r="AF125" s="125"/>
      <c r="AG125" s="125"/>
      <c r="AH125" s="125"/>
      <c r="AI125" s="125"/>
      <c r="AJ125" s="125"/>
      <c r="AK125" s="125"/>
      <c r="AL125" s="125"/>
    </row>
    <row r="126" ht="15.75" customHeight="1">
      <c r="A126" s="125"/>
      <c r="B126" s="125"/>
      <c r="C126" s="125"/>
      <c r="D126" s="125"/>
      <c r="E126" s="125"/>
      <c r="F126" s="125"/>
      <c r="G126" s="186"/>
      <c r="H126" s="186"/>
      <c r="I126" s="125"/>
      <c r="J126" s="125"/>
      <c r="K126" s="125"/>
      <c r="L126" s="125"/>
      <c r="M126" s="125"/>
      <c r="N126" s="125"/>
      <c r="O126" s="125"/>
      <c r="P126" s="125"/>
      <c r="Q126" s="125"/>
      <c r="R126" s="125"/>
      <c r="S126" s="125"/>
      <c r="T126" s="125"/>
      <c r="U126" s="125"/>
      <c r="V126" s="125"/>
      <c r="W126" s="186"/>
      <c r="X126" s="186"/>
      <c r="Y126" s="125"/>
      <c r="Z126" s="125"/>
      <c r="AA126" s="125"/>
      <c r="AB126" s="125"/>
      <c r="AC126" s="125"/>
      <c r="AD126" s="125"/>
      <c r="AE126" s="187"/>
      <c r="AF126" s="125"/>
      <c r="AG126" s="125"/>
      <c r="AH126" s="125"/>
      <c r="AI126" s="125"/>
      <c r="AJ126" s="125"/>
      <c r="AK126" s="125"/>
      <c r="AL126" s="125"/>
    </row>
    <row r="127" ht="15.75" customHeight="1">
      <c r="A127" s="125"/>
      <c r="B127" s="125"/>
      <c r="C127" s="125"/>
      <c r="D127" s="125"/>
      <c r="E127" s="125"/>
      <c r="F127" s="125"/>
      <c r="G127" s="186"/>
      <c r="H127" s="186"/>
      <c r="I127" s="125"/>
      <c r="J127" s="125"/>
      <c r="K127" s="125"/>
      <c r="L127" s="125"/>
      <c r="M127" s="125"/>
      <c r="N127" s="125"/>
      <c r="O127" s="125"/>
      <c r="P127" s="125"/>
      <c r="Q127" s="125"/>
      <c r="R127" s="125"/>
      <c r="S127" s="125"/>
      <c r="T127" s="125"/>
      <c r="U127" s="125"/>
      <c r="V127" s="125"/>
      <c r="W127" s="186"/>
      <c r="X127" s="186"/>
      <c r="Y127" s="125"/>
      <c r="Z127" s="125"/>
      <c r="AA127" s="125"/>
      <c r="AB127" s="125"/>
      <c r="AC127" s="125"/>
      <c r="AD127" s="125"/>
      <c r="AE127" s="187"/>
      <c r="AF127" s="125"/>
      <c r="AG127" s="125"/>
      <c r="AH127" s="125"/>
      <c r="AI127" s="125"/>
      <c r="AJ127" s="125"/>
      <c r="AK127" s="125"/>
      <c r="AL127" s="125"/>
    </row>
    <row r="128" ht="15.75" customHeight="1">
      <c r="A128" s="125"/>
      <c r="B128" s="125"/>
      <c r="C128" s="125"/>
      <c r="D128" s="125"/>
      <c r="E128" s="125"/>
      <c r="F128" s="125"/>
      <c r="G128" s="186"/>
      <c r="H128" s="186"/>
      <c r="I128" s="125"/>
      <c r="J128" s="125"/>
      <c r="K128" s="125"/>
      <c r="L128" s="125"/>
      <c r="M128" s="125"/>
      <c r="N128" s="125"/>
      <c r="O128" s="125"/>
      <c r="P128" s="125"/>
      <c r="Q128" s="125"/>
      <c r="R128" s="125"/>
      <c r="S128" s="125"/>
      <c r="T128" s="125"/>
      <c r="U128" s="125"/>
      <c r="V128" s="125"/>
      <c r="W128" s="186"/>
      <c r="X128" s="186"/>
      <c r="Y128" s="125"/>
      <c r="Z128" s="125"/>
      <c r="AA128" s="125"/>
      <c r="AB128" s="125"/>
      <c r="AC128" s="125"/>
      <c r="AD128" s="125"/>
      <c r="AE128" s="187"/>
      <c r="AF128" s="125"/>
      <c r="AG128" s="125"/>
      <c r="AH128" s="125"/>
      <c r="AI128" s="125"/>
      <c r="AJ128" s="125"/>
      <c r="AK128" s="125"/>
      <c r="AL128" s="125"/>
    </row>
    <row r="129" ht="15.75" customHeight="1">
      <c r="A129" s="125"/>
      <c r="B129" s="125"/>
      <c r="C129" s="125"/>
      <c r="D129" s="125"/>
      <c r="E129" s="125"/>
      <c r="F129" s="125"/>
      <c r="G129" s="186"/>
      <c r="H129" s="186"/>
      <c r="I129" s="125"/>
      <c r="J129" s="125"/>
      <c r="K129" s="125"/>
      <c r="L129" s="125"/>
      <c r="M129" s="125"/>
      <c r="N129" s="125"/>
      <c r="O129" s="125"/>
      <c r="P129" s="125"/>
      <c r="Q129" s="125"/>
      <c r="R129" s="125"/>
      <c r="S129" s="125"/>
      <c r="T129" s="125"/>
      <c r="U129" s="125"/>
      <c r="V129" s="125"/>
      <c r="W129" s="186"/>
      <c r="X129" s="186"/>
      <c r="Y129" s="125"/>
      <c r="Z129" s="125"/>
      <c r="AA129" s="125"/>
      <c r="AB129" s="125"/>
      <c r="AC129" s="125"/>
      <c r="AD129" s="125"/>
      <c r="AE129" s="187"/>
      <c r="AF129" s="125"/>
      <c r="AG129" s="125"/>
      <c r="AH129" s="125"/>
      <c r="AI129" s="125"/>
      <c r="AJ129" s="125"/>
      <c r="AK129" s="125"/>
      <c r="AL129" s="125"/>
    </row>
    <row r="130" ht="15.75" customHeight="1">
      <c r="A130" s="125"/>
      <c r="B130" s="125"/>
      <c r="C130" s="125"/>
      <c r="D130" s="125"/>
      <c r="E130" s="125"/>
      <c r="F130" s="125"/>
      <c r="G130" s="186"/>
      <c r="H130" s="186"/>
      <c r="I130" s="125"/>
      <c r="J130" s="125"/>
      <c r="K130" s="125"/>
      <c r="L130" s="125"/>
      <c r="M130" s="125"/>
      <c r="N130" s="125"/>
      <c r="O130" s="125"/>
      <c r="P130" s="125"/>
      <c r="Q130" s="125"/>
      <c r="R130" s="125"/>
      <c r="S130" s="125"/>
      <c r="T130" s="125"/>
      <c r="U130" s="125"/>
      <c r="V130" s="125"/>
      <c r="W130" s="186"/>
      <c r="X130" s="186"/>
      <c r="Y130" s="125"/>
      <c r="Z130" s="125"/>
      <c r="AA130" s="125"/>
      <c r="AB130" s="125"/>
      <c r="AC130" s="125"/>
      <c r="AD130" s="125"/>
      <c r="AE130" s="187"/>
      <c r="AF130" s="125"/>
      <c r="AG130" s="125"/>
      <c r="AH130" s="125"/>
      <c r="AI130" s="125"/>
      <c r="AJ130" s="125"/>
      <c r="AK130" s="125"/>
      <c r="AL130" s="125"/>
    </row>
    <row r="131" ht="15.75" customHeight="1">
      <c r="A131" s="125"/>
      <c r="B131" s="125"/>
      <c r="C131" s="125"/>
      <c r="D131" s="125"/>
      <c r="E131" s="125"/>
      <c r="F131" s="125"/>
      <c r="G131" s="186"/>
      <c r="H131" s="186"/>
      <c r="I131" s="125"/>
      <c r="J131" s="125"/>
      <c r="K131" s="125"/>
      <c r="L131" s="125"/>
      <c r="M131" s="125"/>
      <c r="N131" s="125"/>
      <c r="O131" s="125"/>
      <c r="P131" s="125"/>
      <c r="Q131" s="125"/>
      <c r="R131" s="125"/>
      <c r="S131" s="125"/>
      <c r="T131" s="125"/>
      <c r="U131" s="125"/>
      <c r="V131" s="125"/>
      <c r="W131" s="186"/>
      <c r="X131" s="186"/>
      <c r="Y131" s="125"/>
      <c r="Z131" s="125"/>
      <c r="AA131" s="125"/>
      <c r="AB131" s="125"/>
      <c r="AC131" s="125"/>
      <c r="AD131" s="125"/>
      <c r="AE131" s="187"/>
      <c r="AF131" s="125"/>
      <c r="AG131" s="125"/>
      <c r="AH131" s="125"/>
      <c r="AI131" s="125"/>
      <c r="AJ131" s="125"/>
      <c r="AK131" s="125"/>
      <c r="AL131" s="125"/>
    </row>
    <row r="132" ht="15.75" customHeight="1">
      <c r="A132" s="125"/>
      <c r="B132" s="125"/>
      <c r="C132" s="125"/>
      <c r="D132" s="125"/>
      <c r="E132" s="125"/>
      <c r="F132" s="125"/>
      <c r="G132" s="186"/>
      <c r="H132" s="186"/>
      <c r="I132" s="125"/>
      <c r="J132" s="125"/>
      <c r="K132" s="125"/>
      <c r="L132" s="125"/>
      <c r="M132" s="125"/>
      <c r="N132" s="125"/>
      <c r="O132" s="125"/>
      <c r="P132" s="125"/>
      <c r="Q132" s="125"/>
      <c r="R132" s="125"/>
      <c r="S132" s="125"/>
      <c r="T132" s="125"/>
      <c r="U132" s="125"/>
      <c r="V132" s="125"/>
      <c r="W132" s="186"/>
      <c r="X132" s="186"/>
      <c r="Y132" s="125"/>
      <c r="Z132" s="125"/>
      <c r="AA132" s="125"/>
      <c r="AB132" s="125"/>
      <c r="AC132" s="125"/>
      <c r="AD132" s="125"/>
      <c r="AE132" s="187"/>
      <c r="AF132" s="125"/>
      <c r="AG132" s="125"/>
      <c r="AH132" s="125"/>
      <c r="AI132" s="125"/>
      <c r="AJ132" s="125"/>
      <c r="AK132" s="125"/>
      <c r="AL132" s="125"/>
    </row>
    <row r="133" ht="15.75" customHeight="1">
      <c r="A133" s="125"/>
      <c r="B133" s="125"/>
      <c r="C133" s="125"/>
      <c r="D133" s="125"/>
      <c r="E133" s="125"/>
      <c r="F133" s="125"/>
      <c r="G133" s="186"/>
      <c r="H133" s="186"/>
      <c r="I133" s="125"/>
      <c r="J133" s="125"/>
      <c r="K133" s="125"/>
      <c r="L133" s="125"/>
      <c r="M133" s="125"/>
      <c r="N133" s="125"/>
      <c r="O133" s="125"/>
      <c r="P133" s="125"/>
      <c r="Q133" s="125"/>
      <c r="R133" s="125"/>
      <c r="S133" s="125"/>
      <c r="T133" s="125"/>
      <c r="U133" s="125"/>
      <c r="V133" s="125"/>
      <c r="W133" s="186"/>
      <c r="X133" s="186"/>
      <c r="Y133" s="125"/>
      <c r="Z133" s="125"/>
      <c r="AA133" s="125"/>
      <c r="AB133" s="125"/>
      <c r="AC133" s="125"/>
      <c r="AD133" s="125"/>
      <c r="AE133" s="187"/>
      <c r="AF133" s="125"/>
      <c r="AG133" s="125"/>
      <c r="AH133" s="125"/>
      <c r="AI133" s="125"/>
      <c r="AJ133" s="125"/>
      <c r="AK133" s="125"/>
      <c r="AL133" s="125"/>
    </row>
    <row r="134" ht="15.75" customHeight="1">
      <c r="A134" s="125"/>
      <c r="B134" s="125"/>
      <c r="C134" s="125"/>
      <c r="D134" s="125"/>
      <c r="E134" s="125"/>
      <c r="F134" s="125"/>
      <c r="G134" s="186"/>
      <c r="H134" s="186"/>
      <c r="I134" s="125"/>
      <c r="J134" s="125"/>
      <c r="K134" s="125"/>
      <c r="L134" s="125"/>
      <c r="M134" s="125"/>
      <c r="N134" s="125"/>
      <c r="O134" s="125"/>
      <c r="P134" s="125"/>
      <c r="Q134" s="125"/>
      <c r="R134" s="125"/>
      <c r="S134" s="125"/>
      <c r="T134" s="125"/>
      <c r="U134" s="125"/>
      <c r="V134" s="125"/>
      <c r="W134" s="186"/>
      <c r="X134" s="186"/>
      <c r="Y134" s="125"/>
      <c r="Z134" s="125"/>
      <c r="AA134" s="125"/>
      <c r="AB134" s="125"/>
      <c r="AC134" s="125"/>
      <c r="AD134" s="125"/>
      <c r="AE134" s="187"/>
      <c r="AF134" s="125"/>
      <c r="AG134" s="125"/>
      <c r="AH134" s="125"/>
      <c r="AI134" s="125"/>
      <c r="AJ134" s="125"/>
      <c r="AK134" s="125"/>
      <c r="AL134" s="125"/>
    </row>
    <row r="135" ht="15.75" customHeight="1">
      <c r="A135" s="125"/>
      <c r="B135" s="125"/>
      <c r="C135" s="125"/>
      <c r="D135" s="125"/>
      <c r="E135" s="125"/>
      <c r="F135" s="125"/>
      <c r="G135" s="186"/>
      <c r="H135" s="186"/>
      <c r="I135" s="125"/>
      <c r="J135" s="125"/>
      <c r="K135" s="125"/>
      <c r="L135" s="125"/>
      <c r="M135" s="125"/>
      <c r="N135" s="125"/>
      <c r="O135" s="125"/>
      <c r="P135" s="125"/>
      <c r="Q135" s="125"/>
      <c r="R135" s="125"/>
      <c r="S135" s="125"/>
      <c r="T135" s="125"/>
      <c r="U135" s="125"/>
      <c r="V135" s="125"/>
      <c r="W135" s="186"/>
      <c r="X135" s="186"/>
      <c r="Y135" s="125"/>
      <c r="Z135" s="125"/>
      <c r="AA135" s="125"/>
      <c r="AB135" s="125"/>
      <c r="AC135" s="125"/>
      <c r="AD135" s="125"/>
      <c r="AE135" s="187"/>
      <c r="AF135" s="125"/>
      <c r="AG135" s="125"/>
      <c r="AH135" s="125"/>
      <c r="AI135" s="125"/>
      <c r="AJ135" s="125"/>
      <c r="AK135" s="125"/>
      <c r="AL135" s="125"/>
    </row>
    <row r="136" ht="15.75" customHeight="1">
      <c r="A136" s="125"/>
      <c r="B136" s="125"/>
      <c r="C136" s="125"/>
      <c r="D136" s="125"/>
      <c r="E136" s="125"/>
      <c r="F136" s="125"/>
      <c r="G136" s="186"/>
      <c r="H136" s="186"/>
      <c r="I136" s="125"/>
      <c r="J136" s="125"/>
      <c r="K136" s="125"/>
      <c r="L136" s="125"/>
      <c r="M136" s="125"/>
      <c r="N136" s="125"/>
      <c r="O136" s="125"/>
      <c r="P136" s="125"/>
      <c r="Q136" s="125"/>
      <c r="R136" s="125"/>
      <c r="S136" s="125"/>
      <c r="T136" s="125"/>
      <c r="U136" s="125"/>
      <c r="V136" s="125"/>
      <c r="W136" s="186"/>
      <c r="X136" s="186"/>
      <c r="Y136" s="125"/>
      <c r="Z136" s="125"/>
      <c r="AA136" s="125"/>
      <c r="AB136" s="125"/>
      <c r="AC136" s="125"/>
      <c r="AD136" s="125"/>
      <c r="AE136" s="187"/>
      <c r="AF136" s="125"/>
      <c r="AG136" s="125"/>
      <c r="AH136" s="125"/>
      <c r="AI136" s="125"/>
      <c r="AJ136" s="125"/>
      <c r="AK136" s="125"/>
      <c r="AL136" s="125"/>
    </row>
    <row r="137" ht="15.75" customHeight="1">
      <c r="A137" s="125"/>
      <c r="B137" s="125"/>
      <c r="C137" s="125"/>
      <c r="D137" s="125"/>
      <c r="E137" s="125"/>
      <c r="F137" s="125"/>
      <c r="G137" s="186"/>
      <c r="H137" s="186"/>
      <c r="I137" s="125"/>
      <c r="J137" s="125"/>
      <c r="K137" s="125"/>
      <c r="L137" s="125"/>
      <c r="M137" s="125"/>
      <c r="N137" s="125"/>
      <c r="O137" s="125"/>
      <c r="P137" s="125"/>
      <c r="Q137" s="125"/>
      <c r="R137" s="125"/>
      <c r="S137" s="125"/>
      <c r="T137" s="125"/>
      <c r="U137" s="125"/>
      <c r="V137" s="125"/>
      <c r="W137" s="186"/>
      <c r="X137" s="186"/>
      <c r="Y137" s="125"/>
      <c r="Z137" s="125"/>
      <c r="AA137" s="125"/>
      <c r="AB137" s="125"/>
      <c r="AC137" s="125"/>
      <c r="AD137" s="125"/>
      <c r="AE137" s="187"/>
      <c r="AF137" s="125"/>
      <c r="AG137" s="125"/>
      <c r="AH137" s="125"/>
      <c r="AI137" s="125"/>
      <c r="AJ137" s="125"/>
      <c r="AK137" s="125"/>
      <c r="AL137" s="125"/>
    </row>
    <row r="138" ht="15.75" customHeight="1">
      <c r="A138" s="125"/>
      <c r="B138" s="125"/>
      <c r="C138" s="125"/>
      <c r="D138" s="125"/>
      <c r="E138" s="125"/>
      <c r="F138" s="125"/>
      <c r="G138" s="186"/>
      <c r="H138" s="186"/>
      <c r="I138" s="125"/>
      <c r="J138" s="125"/>
      <c r="K138" s="125"/>
      <c r="L138" s="125"/>
      <c r="M138" s="125"/>
      <c r="N138" s="125"/>
      <c r="O138" s="125"/>
      <c r="P138" s="125"/>
      <c r="Q138" s="125"/>
      <c r="R138" s="125"/>
      <c r="S138" s="125"/>
      <c r="T138" s="125"/>
      <c r="U138" s="125"/>
      <c r="V138" s="125"/>
      <c r="W138" s="186"/>
      <c r="X138" s="186"/>
      <c r="Y138" s="125"/>
      <c r="Z138" s="125"/>
      <c r="AA138" s="125"/>
      <c r="AB138" s="125"/>
      <c r="AC138" s="125"/>
      <c r="AD138" s="125"/>
      <c r="AE138" s="187"/>
      <c r="AF138" s="125"/>
      <c r="AG138" s="125"/>
      <c r="AH138" s="125"/>
      <c r="AI138" s="125"/>
      <c r="AJ138" s="125"/>
      <c r="AK138" s="125"/>
      <c r="AL138" s="125"/>
    </row>
    <row r="139" ht="15.75" customHeight="1">
      <c r="A139" s="125"/>
      <c r="B139" s="125"/>
      <c r="C139" s="125"/>
      <c r="D139" s="125"/>
      <c r="E139" s="125"/>
      <c r="F139" s="125"/>
      <c r="G139" s="186"/>
      <c r="H139" s="186"/>
      <c r="I139" s="125"/>
      <c r="J139" s="125"/>
      <c r="K139" s="125"/>
      <c r="L139" s="125"/>
      <c r="M139" s="125"/>
      <c r="N139" s="125"/>
      <c r="O139" s="125"/>
      <c r="P139" s="125"/>
      <c r="Q139" s="125"/>
      <c r="R139" s="125"/>
      <c r="S139" s="125"/>
      <c r="T139" s="125"/>
      <c r="U139" s="125"/>
      <c r="V139" s="125"/>
      <c r="W139" s="186"/>
      <c r="X139" s="186"/>
      <c r="Y139" s="125"/>
      <c r="Z139" s="125"/>
      <c r="AA139" s="125"/>
      <c r="AB139" s="125"/>
      <c r="AC139" s="125"/>
      <c r="AD139" s="125"/>
      <c r="AE139" s="187"/>
      <c r="AF139" s="125"/>
      <c r="AG139" s="125"/>
      <c r="AH139" s="125"/>
      <c r="AI139" s="125"/>
      <c r="AJ139" s="125"/>
      <c r="AK139" s="125"/>
      <c r="AL139" s="125"/>
    </row>
    <row r="140" ht="15.75" customHeight="1">
      <c r="A140" s="125"/>
      <c r="B140" s="125"/>
      <c r="C140" s="125"/>
      <c r="D140" s="125"/>
      <c r="E140" s="125"/>
      <c r="F140" s="125"/>
      <c r="G140" s="186"/>
      <c r="H140" s="186"/>
      <c r="I140" s="125"/>
      <c r="J140" s="125"/>
      <c r="K140" s="125"/>
      <c r="L140" s="125"/>
      <c r="M140" s="125"/>
      <c r="N140" s="125"/>
      <c r="O140" s="125"/>
      <c r="P140" s="125"/>
      <c r="Q140" s="125"/>
      <c r="R140" s="125"/>
      <c r="S140" s="125"/>
      <c r="T140" s="125"/>
      <c r="U140" s="125"/>
      <c r="V140" s="125"/>
      <c r="W140" s="186"/>
      <c r="X140" s="186"/>
      <c r="Y140" s="125"/>
      <c r="Z140" s="125"/>
      <c r="AA140" s="125"/>
      <c r="AB140" s="125"/>
      <c r="AC140" s="125"/>
      <c r="AD140" s="125"/>
      <c r="AE140" s="187"/>
      <c r="AF140" s="125"/>
      <c r="AG140" s="125"/>
      <c r="AH140" s="125"/>
      <c r="AI140" s="125"/>
      <c r="AJ140" s="125"/>
      <c r="AK140" s="125"/>
      <c r="AL140" s="125"/>
    </row>
    <row r="141" ht="15.75" customHeight="1">
      <c r="A141" s="125"/>
      <c r="B141" s="125"/>
      <c r="C141" s="125"/>
      <c r="D141" s="125"/>
      <c r="E141" s="125"/>
      <c r="F141" s="125"/>
      <c r="G141" s="186"/>
      <c r="H141" s="186"/>
      <c r="I141" s="125"/>
      <c r="J141" s="125"/>
      <c r="K141" s="125"/>
      <c r="L141" s="125"/>
      <c r="M141" s="125"/>
      <c r="N141" s="125"/>
      <c r="O141" s="125"/>
      <c r="P141" s="125"/>
      <c r="Q141" s="125"/>
      <c r="R141" s="125"/>
      <c r="S141" s="125"/>
      <c r="T141" s="125"/>
      <c r="U141" s="125"/>
      <c r="V141" s="125"/>
      <c r="W141" s="186"/>
      <c r="X141" s="186"/>
      <c r="Y141" s="125"/>
      <c r="Z141" s="125"/>
      <c r="AA141" s="125"/>
      <c r="AB141" s="125"/>
      <c r="AC141" s="125"/>
      <c r="AD141" s="125"/>
      <c r="AE141" s="187"/>
      <c r="AF141" s="125"/>
      <c r="AG141" s="125"/>
      <c r="AH141" s="125"/>
      <c r="AI141" s="125"/>
      <c r="AJ141" s="125"/>
      <c r="AK141" s="125"/>
      <c r="AL141" s="125"/>
    </row>
    <row r="142" ht="15.75" customHeight="1">
      <c r="A142" s="125"/>
      <c r="B142" s="125"/>
      <c r="C142" s="125"/>
      <c r="D142" s="125"/>
      <c r="E142" s="125"/>
      <c r="F142" s="125"/>
      <c r="G142" s="186"/>
      <c r="H142" s="186"/>
      <c r="I142" s="125"/>
      <c r="J142" s="125"/>
      <c r="K142" s="125"/>
      <c r="L142" s="125"/>
      <c r="M142" s="125"/>
      <c r="N142" s="125"/>
      <c r="O142" s="125"/>
      <c r="P142" s="125"/>
      <c r="Q142" s="125"/>
      <c r="R142" s="125"/>
      <c r="S142" s="125"/>
      <c r="T142" s="125"/>
      <c r="U142" s="125"/>
      <c r="V142" s="125"/>
      <c r="W142" s="186"/>
      <c r="X142" s="186"/>
      <c r="Y142" s="125"/>
      <c r="Z142" s="125"/>
      <c r="AA142" s="125"/>
      <c r="AB142" s="125"/>
      <c r="AC142" s="125"/>
      <c r="AD142" s="125"/>
      <c r="AE142" s="187"/>
      <c r="AF142" s="125"/>
      <c r="AG142" s="125"/>
      <c r="AH142" s="125"/>
      <c r="AI142" s="125"/>
      <c r="AJ142" s="125"/>
      <c r="AK142" s="125"/>
      <c r="AL142" s="125"/>
    </row>
    <row r="143" ht="15.75" customHeight="1">
      <c r="A143" s="125"/>
      <c r="B143" s="125"/>
      <c r="C143" s="125"/>
      <c r="D143" s="125"/>
      <c r="E143" s="125"/>
      <c r="F143" s="125"/>
      <c r="G143" s="186"/>
      <c r="H143" s="186"/>
      <c r="I143" s="125"/>
      <c r="J143" s="125"/>
      <c r="K143" s="125"/>
      <c r="L143" s="125"/>
      <c r="M143" s="125"/>
      <c r="N143" s="125"/>
      <c r="O143" s="125"/>
      <c r="P143" s="125"/>
      <c r="Q143" s="125"/>
      <c r="R143" s="125"/>
      <c r="S143" s="125"/>
      <c r="T143" s="125"/>
      <c r="U143" s="125"/>
      <c r="V143" s="125"/>
      <c r="W143" s="186"/>
      <c r="X143" s="186"/>
      <c r="Y143" s="125"/>
      <c r="Z143" s="125"/>
      <c r="AA143" s="125"/>
      <c r="AB143" s="125"/>
      <c r="AC143" s="125"/>
      <c r="AD143" s="125"/>
      <c r="AE143" s="187"/>
      <c r="AF143" s="125"/>
      <c r="AG143" s="125"/>
      <c r="AH143" s="125"/>
      <c r="AI143" s="125"/>
      <c r="AJ143" s="125"/>
      <c r="AK143" s="125"/>
      <c r="AL143" s="125"/>
    </row>
    <row r="144" ht="15.75" customHeight="1">
      <c r="A144" s="125"/>
      <c r="B144" s="125"/>
      <c r="C144" s="125"/>
      <c r="D144" s="125"/>
      <c r="E144" s="125"/>
      <c r="F144" s="125"/>
      <c r="G144" s="186"/>
      <c r="H144" s="186"/>
      <c r="I144" s="125"/>
      <c r="J144" s="125"/>
      <c r="K144" s="125"/>
      <c r="L144" s="125"/>
      <c r="M144" s="125"/>
      <c r="N144" s="125"/>
      <c r="O144" s="125"/>
      <c r="P144" s="125"/>
      <c r="Q144" s="125"/>
      <c r="R144" s="125"/>
      <c r="S144" s="125"/>
      <c r="T144" s="125"/>
      <c r="U144" s="125"/>
      <c r="V144" s="125"/>
      <c r="W144" s="186"/>
      <c r="X144" s="186"/>
      <c r="Y144" s="125"/>
      <c r="Z144" s="125"/>
      <c r="AA144" s="125"/>
      <c r="AB144" s="125"/>
      <c r="AC144" s="125"/>
      <c r="AD144" s="125"/>
      <c r="AE144" s="187"/>
      <c r="AF144" s="125"/>
      <c r="AG144" s="125"/>
      <c r="AH144" s="125"/>
      <c r="AI144" s="125"/>
      <c r="AJ144" s="125"/>
      <c r="AK144" s="125"/>
      <c r="AL144" s="125"/>
    </row>
    <row r="145" ht="15.75" customHeight="1">
      <c r="A145" s="125"/>
      <c r="B145" s="125"/>
      <c r="C145" s="125"/>
      <c r="D145" s="125"/>
      <c r="E145" s="125"/>
      <c r="F145" s="125"/>
      <c r="G145" s="186"/>
      <c r="H145" s="186"/>
      <c r="I145" s="125"/>
      <c r="J145" s="125"/>
      <c r="K145" s="125"/>
      <c r="L145" s="125"/>
      <c r="M145" s="125"/>
      <c r="N145" s="125"/>
      <c r="O145" s="125"/>
      <c r="P145" s="125"/>
      <c r="Q145" s="125"/>
      <c r="R145" s="125"/>
      <c r="S145" s="125"/>
      <c r="T145" s="125"/>
      <c r="U145" s="125"/>
      <c r="V145" s="125"/>
      <c r="W145" s="186"/>
      <c r="X145" s="186"/>
      <c r="Y145" s="125"/>
      <c r="Z145" s="125"/>
      <c r="AA145" s="125"/>
      <c r="AB145" s="125"/>
      <c r="AC145" s="125"/>
      <c r="AD145" s="125"/>
      <c r="AE145" s="187"/>
      <c r="AF145" s="125"/>
      <c r="AG145" s="125"/>
      <c r="AH145" s="125"/>
      <c r="AI145" s="125"/>
      <c r="AJ145" s="125"/>
      <c r="AK145" s="125"/>
      <c r="AL145" s="125"/>
    </row>
    <row r="146" ht="15.75" customHeight="1">
      <c r="A146" s="125"/>
      <c r="B146" s="125"/>
      <c r="C146" s="125"/>
      <c r="D146" s="125"/>
      <c r="E146" s="125"/>
      <c r="F146" s="125"/>
      <c r="G146" s="186"/>
      <c r="H146" s="186"/>
      <c r="I146" s="125"/>
      <c r="J146" s="125"/>
      <c r="K146" s="125"/>
      <c r="L146" s="125"/>
      <c r="M146" s="125"/>
      <c r="N146" s="125"/>
      <c r="O146" s="125"/>
      <c r="P146" s="125"/>
      <c r="Q146" s="125"/>
      <c r="R146" s="125"/>
      <c r="S146" s="125"/>
      <c r="T146" s="125"/>
      <c r="U146" s="125"/>
      <c r="V146" s="125"/>
      <c r="W146" s="186"/>
      <c r="X146" s="186"/>
      <c r="Y146" s="125"/>
      <c r="Z146" s="125"/>
      <c r="AA146" s="125"/>
      <c r="AB146" s="125"/>
      <c r="AC146" s="125"/>
      <c r="AD146" s="125"/>
      <c r="AE146" s="187"/>
      <c r="AF146" s="125"/>
      <c r="AG146" s="125"/>
      <c r="AH146" s="125"/>
      <c r="AI146" s="125"/>
      <c r="AJ146" s="125"/>
      <c r="AK146" s="125"/>
      <c r="AL146" s="125"/>
    </row>
    <row r="147" ht="15.75" customHeight="1">
      <c r="A147" s="125"/>
      <c r="B147" s="125"/>
      <c r="C147" s="125"/>
      <c r="D147" s="125"/>
      <c r="E147" s="125"/>
      <c r="F147" s="125"/>
      <c r="G147" s="186"/>
      <c r="H147" s="186"/>
      <c r="I147" s="125"/>
      <c r="J147" s="125"/>
      <c r="K147" s="125"/>
      <c r="L147" s="125"/>
      <c r="M147" s="125"/>
      <c r="N147" s="125"/>
      <c r="O147" s="125"/>
      <c r="P147" s="125"/>
      <c r="Q147" s="125"/>
      <c r="R147" s="125"/>
      <c r="S147" s="125"/>
      <c r="T147" s="125"/>
      <c r="U147" s="125"/>
      <c r="V147" s="125"/>
      <c r="W147" s="186"/>
      <c r="X147" s="186"/>
      <c r="Y147" s="125"/>
      <c r="Z147" s="125"/>
      <c r="AA147" s="125"/>
      <c r="AB147" s="125"/>
      <c r="AC147" s="125"/>
      <c r="AD147" s="125"/>
      <c r="AE147" s="187"/>
      <c r="AF147" s="125"/>
      <c r="AG147" s="125"/>
      <c r="AH147" s="125"/>
      <c r="AI147" s="125"/>
      <c r="AJ147" s="125"/>
      <c r="AK147" s="125"/>
      <c r="AL147" s="125"/>
    </row>
    <row r="148" ht="15.75" customHeight="1">
      <c r="A148" s="125"/>
      <c r="B148" s="125"/>
      <c r="C148" s="125"/>
      <c r="D148" s="125"/>
      <c r="E148" s="125"/>
      <c r="F148" s="125"/>
      <c r="G148" s="186"/>
      <c r="H148" s="186"/>
      <c r="I148" s="125"/>
      <c r="J148" s="125"/>
      <c r="K148" s="125"/>
      <c r="L148" s="125"/>
      <c r="M148" s="125"/>
      <c r="N148" s="125"/>
      <c r="O148" s="125"/>
      <c r="P148" s="125"/>
      <c r="Q148" s="125"/>
      <c r="R148" s="125"/>
      <c r="S148" s="125"/>
      <c r="T148" s="125"/>
      <c r="U148" s="125"/>
      <c r="V148" s="125"/>
      <c r="W148" s="186"/>
      <c r="X148" s="186"/>
      <c r="Y148" s="125"/>
      <c r="Z148" s="125"/>
      <c r="AA148" s="125"/>
      <c r="AB148" s="125"/>
      <c r="AC148" s="125"/>
      <c r="AD148" s="125"/>
      <c r="AE148" s="187"/>
      <c r="AF148" s="125"/>
      <c r="AG148" s="125"/>
      <c r="AH148" s="125"/>
      <c r="AI148" s="125"/>
      <c r="AJ148" s="125"/>
      <c r="AK148" s="125"/>
      <c r="AL148" s="125"/>
    </row>
    <row r="149" ht="15.75" customHeight="1">
      <c r="A149" s="125"/>
      <c r="B149" s="125"/>
      <c r="C149" s="125"/>
      <c r="D149" s="125"/>
      <c r="E149" s="125"/>
      <c r="F149" s="125"/>
      <c r="G149" s="125"/>
      <c r="H149" s="125"/>
      <c r="I149" s="125"/>
      <c r="J149" s="125"/>
      <c r="K149" s="125"/>
      <c r="L149" s="125"/>
      <c r="M149" s="125"/>
      <c r="N149" s="125"/>
      <c r="O149" s="125"/>
      <c r="P149" s="125"/>
      <c r="Q149" s="125"/>
      <c r="R149" s="125"/>
      <c r="S149" s="125"/>
      <c r="T149" s="125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87"/>
      <c r="AF149" s="125"/>
      <c r="AG149" s="125"/>
      <c r="AH149" s="125"/>
      <c r="AI149" s="125"/>
      <c r="AJ149" s="125"/>
      <c r="AK149" s="125"/>
      <c r="AL149" s="125"/>
    </row>
    <row r="150" ht="15.75" customHeight="1">
      <c r="A150" s="125"/>
      <c r="B150" s="125"/>
      <c r="C150" s="125"/>
      <c r="D150" s="125"/>
      <c r="E150" s="125"/>
      <c r="F150" s="125"/>
      <c r="G150" s="125"/>
      <c r="H150" s="125"/>
      <c r="I150" s="125"/>
      <c r="J150" s="125"/>
      <c r="K150" s="125"/>
      <c r="L150" s="125"/>
      <c r="M150" s="125"/>
      <c r="N150" s="125"/>
      <c r="O150" s="125"/>
      <c r="P150" s="125"/>
      <c r="Q150" s="125"/>
      <c r="R150" s="125"/>
      <c r="S150" s="125"/>
      <c r="T150" s="125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87"/>
      <c r="AF150" s="125"/>
      <c r="AG150" s="125"/>
      <c r="AH150" s="125"/>
      <c r="AI150" s="125"/>
      <c r="AJ150" s="125"/>
      <c r="AK150" s="125"/>
      <c r="AL150" s="125"/>
    </row>
    <row r="151" ht="15.75" customHeight="1">
      <c r="A151" s="125"/>
      <c r="B151" s="125"/>
      <c r="C151" s="125"/>
      <c r="D151" s="125"/>
      <c r="E151" s="125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5"/>
      <c r="S151" s="125"/>
      <c r="T151" s="125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87"/>
      <c r="AF151" s="125"/>
      <c r="AG151" s="125"/>
      <c r="AH151" s="125"/>
      <c r="AI151" s="125"/>
      <c r="AJ151" s="125"/>
      <c r="AK151" s="125"/>
      <c r="AL151" s="125"/>
    </row>
    <row r="152" ht="15.75" customHeight="1">
      <c r="A152" s="125"/>
      <c r="B152" s="125"/>
      <c r="C152" s="125"/>
      <c r="D152" s="125"/>
      <c r="E152" s="125"/>
      <c r="F152" s="125"/>
      <c r="G152" s="125"/>
      <c r="H152" s="125"/>
      <c r="I152" s="125"/>
      <c r="J152" s="125"/>
      <c r="K152" s="125"/>
      <c r="L152" s="125"/>
      <c r="M152" s="125"/>
      <c r="N152" s="125"/>
      <c r="O152" s="125"/>
      <c r="P152" s="125"/>
      <c r="Q152" s="125"/>
      <c r="R152" s="125"/>
      <c r="S152" s="125"/>
      <c r="T152" s="125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87"/>
      <c r="AF152" s="125"/>
      <c r="AG152" s="125"/>
      <c r="AH152" s="125"/>
      <c r="AI152" s="125"/>
      <c r="AJ152" s="125"/>
      <c r="AK152" s="125"/>
      <c r="AL152" s="125"/>
    </row>
    <row r="153" ht="15.75" customHeight="1">
      <c r="A153" s="125"/>
      <c r="B153" s="125"/>
      <c r="C153" s="125"/>
      <c r="D153" s="125"/>
      <c r="E153" s="125"/>
      <c r="F153" s="125"/>
      <c r="G153" s="125"/>
      <c r="H153" s="125"/>
      <c r="I153" s="125"/>
      <c r="J153" s="125"/>
      <c r="K153" s="125"/>
      <c r="L153" s="125"/>
      <c r="M153" s="125"/>
      <c r="N153" s="125"/>
      <c r="O153" s="125"/>
      <c r="P153" s="125"/>
      <c r="Q153" s="125"/>
      <c r="R153" s="125"/>
      <c r="S153" s="125"/>
      <c r="T153" s="125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87"/>
      <c r="AF153" s="125"/>
      <c r="AG153" s="125"/>
      <c r="AH153" s="125"/>
      <c r="AI153" s="125"/>
      <c r="AJ153" s="125"/>
      <c r="AK153" s="125"/>
      <c r="AL153" s="125"/>
    </row>
    <row r="154" ht="15.75" customHeight="1">
      <c r="A154" s="125"/>
      <c r="B154" s="125"/>
      <c r="C154" s="125"/>
      <c r="D154" s="125"/>
      <c r="E154" s="125"/>
      <c r="F154" s="125"/>
      <c r="G154" s="125"/>
      <c r="H154" s="125"/>
      <c r="I154" s="125"/>
      <c r="J154" s="125"/>
      <c r="K154" s="125"/>
      <c r="L154" s="125"/>
      <c r="M154" s="125"/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87"/>
      <c r="AF154" s="125"/>
      <c r="AG154" s="125"/>
      <c r="AH154" s="125"/>
      <c r="AI154" s="125"/>
      <c r="AJ154" s="125"/>
      <c r="AK154" s="125"/>
      <c r="AL154" s="125"/>
    </row>
    <row r="155" ht="15.75" customHeight="1">
      <c r="A155" s="125"/>
      <c r="B155" s="125"/>
      <c r="C155" s="125"/>
      <c r="D155" s="125"/>
      <c r="E155" s="125"/>
      <c r="F155" s="125"/>
      <c r="G155" s="125"/>
      <c r="H155" s="125"/>
      <c r="I155" s="125"/>
      <c r="J155" s="125"/>
      <c r="K155" s="125"/>
      <c r="L155" s="125"/>
      <c r="M155" s="125"/>
      <c r="N155" s="125"/>
      <c r="O155" s="125"/>
      <c r="P155" s="125"/>
      <c r="Q155" s="125"/>
      <c r="R155" s="125"/>
      <c r="S155" s="125"/>
      <c r="T155" s="125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87"/>
      <c r="AF155" s="125"/>
      <c r="AG155" s="125"/>
      <c r="AH155" s="125"/>
      <c r="AI155" s="125"/>
      <c r="AJ155" s="125"/>
      <c r="AK155" s="125"/>
      <c r="AL155" s="125"/>
    </row>
    <row r="156" ht="15.75" customHeight="1">
      <c r="A156" s="125"/>
      <c r="B156" s="125"/>
      <c r="C156" s="125"/>
      <c r="D156" s="125"/>
      <c r="E156" s="125"/>
      <c r="F156" s="125"/>
      <c r="G156" s="125"/>
      <c r="H156" s="125"/>
      <c r="I156" s="125"/>
      <c r="J156" s="125"/>
      <c r="K156" s="125"/>
      <c r="L156" s="125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87"/>
      <c r="AF156" s="125"/>
      <c r="AG156" s="125"/>
      <c r="AH156" s="125"/>
      <c r="AI156" s="125"/>
      <c r="AJ156" s="125"/>
      <c r="AK156" s="125"/>
      <c r="AL156" s="125"/>
    </row>
    <row r="157" ht="15.75" customHeight="1">
      <c r="A157" s="125"/>
      <c r="B157" s="125"/>
      <c r="C157" s="125"/>
      <c r="D157" s="125"/>
      <c r="E157" s="125"/>
      <c r="F157" s="125"/>
      <c r="G157" s="125"/>
      <c r="H157" s="125"/>
      <c r="I157" s="125"/>
      <c r="J157" s="125"/>
      <c r="K157" s="125"/>
      <c r="L157" s="125"/>
      <c r="M157" s="125"/>
      <c r="N157" s="125"/>
      <c r="O157" s="125"/>
      <c r="P157" s="125"/>
      <c r="Q157" s="125"/>
      <c r="R157" s="125"/>
      <c r="S157" s="125"/>
      <c r="T157" s="125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87"/>
      <c r="AF157" s="125"/>
      <c r="AG157" s="125"/>
      <c r="AH157" s="125"/>
      <c r="AI157" s="125"/>
      <c r="AJ157" s="125"/>
      <c r="AK157" s="125"/>
      <c r="AL157" s="125"/>
    </row>
    <row r="158" ht="15.75" customHeight="1">
      <c r="A158" s="125"/>
      <c r="B158" s="125"/>
      <c r="C158" s="125"/>
      <c r="D158" s="125"/>
      <c r="E158" s="125"/>
      <c r="F158" s="125"/>
      <c r="G158" s="125"/>
      <c r="H158" s="125"/>
      <c r="I158" s="125"/>
      <c r="J158" s="125"/>
      <c r="K158" s="125"/>
      <c r="L158" s="125"/>
      <c r="M158" s="125"/>
      <c r="N158" s="125"/>
      <c r="O158" s="125"/>
      <c r="P158" s="125"/>
      <c r="Q158" s="125"/>
      <c r="R158" s="125"/>
      <c r="S158" s="125"/>
      <c r="T158" s="125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87"/>
      <c r="AF158" s="125"/>
      <c r="AG158" s="125"/>
      <c r="AH158" s="125"/>
      <c r="AI158" s="125"/>
      <c r="AJ158" s="125"/>
      <c r="AK158" s="125"/>
      <c r="AL158" s="125"/>
    </row>
    <row r="159" ht="15.75" customHeight="1">
      <c r="A159" s="125"/>
      <c r="B159" s="125"/>
      <c r="C159" s="125"/>
      <c r="D159" s="125"/>
      <c r="E159" s="125"/>
      <c r="F159" s="125"/>
      <c r="G159" s="125"/>
      <c r="H159" s="125"/>
      <c r="I159" s="125"/>
      <c r="J159" s="125"/>
      <c r="K159" s="125"/>
      <c r="L159" s="125"/>
      <c r="M159" s="125"/>
      <c r="N159" s="125"/>
      <c r="O159" s="125"/>
      <c r="P159" s="125"/>
      <c r="Q159" s="125"/>
      <c r="R159" s="125"/>
      <c r="S159" s="125"/>
      <c r="T159" s="125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87"/>
      <c r="AF159" s="125"/>
      <c r="AG159" s="125"/>
      <c r="AH159" s="125"/>
      <c r="AI159" s="125"/>
      <c r="AJ159" s="125"/>
      <c r="AK159" s="125"/>
      <c r="AL159" s="125"/>
    </row>
    <row r="160" ht="15.75" customHeight="1">
      <c r="A160" s="125"/>
      <c r="B160" s="125"/>
      <c r="C160" s="125"/>
      <c r="D160" s="125"/>
      <c r="E160" s="125"/>
      <c r="F160" s="125"/>
      <c r="G160" s="125"/>
      <c r="H160" s="125"/>
      <c r="I160" s="125"/>
      <c r="J160" s="125"/>
      <c r="K160" s="125"/>
      <c r="L160" s="125"/>
      <c r="M160" s="125"/>
      <c r="N160" s="125"/>
      <c r="O160" s="125"/>
      <c r="P160" s="125"/>
      <c r="Q160" s="125"/>
      <c r="R160" s="125"/>
      <c r="S160" s="125"/>
      <c r="T160" s="125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87"/>
      <c r="AF160" s="125"/>
      <c r="AG160" s="125"/>
      <c r="AH160" s="125"/>
      <c r="AI160" s="125"/>
      <c r="AJ160" s="125"/>
      <c r="AK160" s="125"/>
      <c r="AL160" s="125"/>
    </row>
    <row r="161" ht="15.75" customHeight="1">
      <c r="A161" s="125"/>
      <c r="B161" s="125"/>
      <c r="C161" s="125"/>
      <c r="D161" s="125"/>
      <c r="E161" s="125"/>
      <c r="F161" s="125"/>
      <c r="G161" s="125"/>
      <c r="H161" s="125"/>
      <c r="I161" s="125"/>
      <c r="J161" s="125"/>
      <c r="K161" s="125"/>
      <c r="L161" s="125"/>
      <c r="M161" s="125"/>
      <c r="N161" s="125"/>
      <c r="O161" s="125"/>
      <c r="P161" s="125"/>
      <c r="Q161" s="125"/>
      <c r="R161" s="125"/>
      <c r="S161" s="125"/>
      <c r="T161" s="125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87"/>
      <c r="AF161" s="125"/>
      <c r="AG161" s="125"/>
      <c r="AH161" s="125"/>
      <c r="AI161" s="125"/>
      <c r="AJ161" s="125"/>
      <c r="AK161" s="125"/>
      <c r="AL161" s="125"/>
    </row>
    <row r="162" ht="15.75" customHeight="1">
      <c r="A162" s="125"/>
      <c r="B162" s="125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87"/>
      <c r="AF162" s="125"/>
      <c r="AG162" s="125"/>
      <c r="AH162" s="125"/>
      <c r="AI162" s="125"/>
      <c r="AJ162" s="125"/>
      <c r="AK162" s="125"/>
      <c r="AL162" s="125"/>
    </row>
    <row r="163" ht="15.75" customHeight="1">
      <c r="A163" s="125"/>
      <c r="B163" s="125"/>
      <c r="C163" s="125"/>
      <c r="D163" s="125"/>
      <c r="E163" s="125"/>
      <c r="F163" s="125"/>
      <c r="G163" s="125"/>
      <c r="H163" s="125"/>
      <c r="I163" s="125"/>
      <c r="J163" s="125"/>
      <c r="K163" s="125"/>
      <c r="L163" s="125"/>
      <c r="M163" s="125"/>
      <c r="N163" s="125"/>
      <c r="O163" s="125"/>
      <c r="P163" s="125"/>
      <c r="Q163" s="125"/>
      <c r="R163" s="125"/>
      <c r="S163" s="125"/>
      <c r="T163" s="125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87"/>
      <c r="AF163" s="125"/>
      <c r="AG163" s="125"/>
      <c r="AH163" s="125"/>
      <c r="AI163" s="125"/>
      <c r="AJ163" s="125"/>
      <c r="AK163" s="125"/>
      <c r="AL163" s="125"/>
    </row>
    <row r="164" ht="15.75" customHeight="1">
      <c r="A164" s="125"/>
      <c r="B164" s="125"/>
      <c r="C164" s="125"/>
      <c r="D164" s="125"/>
      <c r="E164" s="125"/>
      <c r="F164" s="125"/>
      <c r="G164" s="125"/>
      <c r="H164" s="125"/>
      <c r="I164" s="125"/>
      <c r="J164" s="125"/>
      <c r="K164" s="125"/>
      <c r="L164" s="125"/>
      <c r="M164" s="125"/>
      <c r="N164" s="125"/>
      <c r="O164" s="125"/>
      <c r="P164" s="125"/>
      <c r="Q164" s="125"/>
      <c r="R164" s="125"/>
      <c r="S164" s="125"/>
      <c r="T164" s="125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87"/>
      <c r="AF164" s="125"/>
      <c r="AG164" s="125"/>
      <c r="AH164" s="125"/>
      <c r="AI164" s="125"/>
      <c r="AJ164" s="125"/>
      <c r="AK164" s="125"/>
      <c r="AL164" s="125"/>
    </row>
    <row r="165" ht="15.75" customHeight="1">
      <c r="A165" s="125"/>
      <c r="B165" s="125"/>
      <c r="C165" s="125"/>
      <c r="D165" s="125"/>
      <c r="E165" s="125"/>
      <c r="F165" s="125"/>
      <c r="G165" s="125"/>
      <c r="H165" s="125"/>
      <c r="I165" s="125"/>
      <c r="J165" s="125"/>
      <c r="K165" s="125"/>
      <c r="L165" s="125"/>
      <c r="M165" s="125"/>
      <c r="N165" s="125"/>
      <c r="O165" s="125"/>
      <c r="P165" s="125"/>
      <c r="Q165" s="125"/>
      <c r="R165" s="125"/>
      <c r="S165" s="125"/>
      <c r="T165" s="125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87"/>
      <c r="AF165" s="125"/>
      <c r="AG165" s="125"/>
      <c r="AH165" s="125"/>
      <c r="AI165" s="125"/>
      <c r="AJ165" s="125"/>
      <c r="AK165" s="125"/>
      <c r="AL165" s="125"/>
    </row>
    <row r="166" ht="15.75" customHeight="1">
      <c r="A166" s="125"/>
      <c r="B166" s="125"/>
      <c r="C166" s="125"/>
      <c r="D166" s="125"/>
      <c r="E166" s="125"/>
      <c r="F166" s="125"/>
      <c r="G166" s="125"/>
      <c r="H166" s="125"/>
      <c r="I166" s="125"/>
      <c r="J166" s="125"/>
      <c r="K166" s="125"/>
      <c r="L166" s="125"/>
      <c r="M166" s="125"/>
      <c r="N166" s="125"/>
      <c r="O166" s="125"/>
      <c r="P166" s="125"/>
      <c r="Q166" s="125"/>
      <c r="R166" s="125"/>
      <c r="S166" s="125"/>
      <c r="T166" s="125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87"/>
      <c r="AF166" s="125"/>
      <c r="AG166" s="125"/>
      <c r="AH166" s="125"/>
      <c r="AI166" s="125"/>
      <c r="AJ166" s="125"/>
      <c r="AK166" s="125"/>
      <c r="AL166" s="125"/>
    </row>
    <row r="167" ht="15.75" customHeight="1">
      <c r="A167" s="125"/>
      <c r="B167" s="125"/>
      <c r="C167" s="125"/>
      <c r="D167" s="125"/>
      <c r="E167" s="125"/>
      <c r="F167" s="125"/>
      <c r="G167" s="125"/>
      <c r="H167" s="125"/>
      <c r="I167" s="125"/>
      <c r="J167" s="125"/>
      <c r="K167" s="125"/>
      <c r="L167" s="125"/>
      <c r="M167" s="125"/>
      <c r="N167" s="125"/>
      <c r="O167" s="125"/>
      <c r="P167" s="125"/>
      <c r="Q167" s="125"/>
      <c r="R167" s="125"/>
      <c r="S167" s="125"/>
      <c r="T167" s="125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87"/>
      <c r="AF167" s="125"/>
      <c r="AG167" s="125"/>
      <c r="AH167" s="125"/>
      <c r="AI167" s="125"/>
      <c r="AJ167" s="125"/>
      <c r="AK167" s="125"/>
      <c r="AL167" s="125"/>
    </row>
    <row r="168" ht="15.75" customHeight="1">
      <c r="A168" s="125"/>
      <c r="B168" s="125"/>
      <c r="C168" s="125"/>
      <c r="D168" s="125"/>
      <c r="E168" s="125"/>
      <c r="F168" s="125"/>
      <c r="G168" s="125"/>
      <c r="H168" s="125"/>
      <c r="I168" s="125"/>
      <c r="J168" s="125"/>
      <c r="K168" s="125"/>
      <c r="L168" s="125"/>
      <c r="M168" s="125"/>
      <c r="N168" s="125"/>
      <c r="O168" s="125"/>
      <c r="P168" s="125"/>
      <c r="Q168" s="125"/>
      <c r="R168" s="125"/>
      <c r="S168" s="125"/>
      <c r="T168" s="125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87"/>
      <c r="AF168" s="125"/>
      <c r="AG168" s="125"/>
      <c r="AH168" s="125"/>
      <c r="AI168" s="125"/>
      <c r="AJ168" s="125"/>
      <c r="AK168" s="125"/>
      <c r="AL168" s="125"/>
    </row>
    <row r="169" ht="15.75" customHeight="1">
      <c r="A169" s="125"/>
      <c r="B169" s="125"/>
      <c r="C169" s="125"/>
      <c r="D169" s="125"/>
      <c r="E169" s="125"/>
      <c r="F169" s="125"/>
      <c r="G169" s="125"/>
      <c r="H169" s="125"/>
      <c r="I169" s="125"/>
      <c r="J169" s="125"/>
      <c r="K169" s="125"/>
      <c r="L169" s="125"/>
      <c r="M169" s="125"/>
      <c r="N169" s="125"/>
      <c r="O169" s="125"/>
      <c r="P169" s="125"/>
      <c r="Q169" s="125"/>
      <c r="R169" s="125"/>
      <c r="S169" s="125"/>
      <c r="T169" s="125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87"/>
      <c r="AF169" s="125"/>
      <c r="AG169" s="125"/>
      <c r="AH169" s="125"/>
      <c r="AI169" s="125"/>
      <c r="AJ169" s="125"/>
      <c r="AK169" s="125"/>
      <c r="AL169" s="125"/>
    </row>
    <row r="170" ht="15.75" customHeight="1">
      <c r="A170" s="125"/>
      <c r="B170" s="125"/>
      <c r="C170" s="125"/>
      <c r="D170" s="125"/>
      <c r="E170" s="125"/>
      <c r="F170" s="125"/>
      <c r="G170" s="125"/>
      <c r="H170" s="125"/>
      <c r="I170" s="125"/>
      <c r="J170" s="125"/>
      <c r="K170" s="125"/>
      <c r="L170" s="125"/>
      <c r="M170" s="125"/>
      <c r="N170" s="125"/>
      <c r="O170" s="125"/>
      <c r="P170" s="125"/>
      <c r="Q170" s="125"/>
      <c r="R170" s="125"/>
      <c r="S170" s="125"/>
      <c r="T170" s="125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87"/>
      <c r="AF170" s="125"/>
      <c r="AG170" s="125"/>
      <c r="AH170" s="125"/>
      <c r="AI170" s="125"/>
      <c r="AJ170" s="125"/>
      <c r="AK170" s="125"/>
      <c r="AL170" s="125"/>
    </row>
    <row r="171" ht="15.75" customHeight="1">
      <c r="A171" s="125"/>
      <c r="B171" s="125"/>
      <c r="C171" s="125"/>
      <c r="D171" s="125"/>
      <c r="E171" s="125"/>
      <c r="F171" s="125"/>
      <c r="G171" s="125"/>
      <c r="H171" s="125"/>
      <c r="I171" s="125"/>
      <c r="J171" s="125"/>
      <c r="K171" s="125"/>
      <c r="L171" s="125"/>
      <c r="M171" s="125"/>
      <c r="N171" s="125"/>
      <c r="O171" s="125"/>
      <c r="P171" s="125"/>
      <c r="Q171" s="125"/>
      <c r="R171" s="125"/>
      <c r="S171" s="125"/>
      <c r="T171" s="125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87"/>
      <c r="AF171" s="125"/>
      <c r="AG171" s="125"/>
      <c r="AH171" s="125"/>
      <c r="AI171" s="125"/>
      <c r="AJ171" s="125"/>
      <c r="AK171" s="125"/>
      <c r="AL171" s="125"/>
    </row>
    <row r="172" ht="15.75" customHeight="1">
      <c r="A172" s="125"/>
      <c r="B172" s="125"/>
      <c r="C172" s="125"/>
      <c r="D172" s="125"/>
      <c r="E172" s="125"/>
      <c r="F172" s="125"/>
      <c r="G172" s="125"/>
      <c r="H172" s="125"/>
      <c r="I172" s="125"/>
      <c r="J172" s="125"/>
      <c r="K172" s="125"/>
      <c r="L172" s="125"/>
      <c r="M172" s="125"/>
      <c r="N172" s="125"/>
      <c r="O172" s="125"/>
      <c r="P172" s="125"/>
      <c r="Q172" s="125"/>
      <c r="R172" s="125"/>
      <c r="S172" s="125"/>
      <c r="T172" s="125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87"/>
      <c r="AF172" s="125"/>
      <c r="AG172" s="125"/>
      <c r="AH172" s="125"/>
      <c r="AI172" s="125"/>
      <c r="AJ172" s="125"/>
      <c r="AK172" s="125"/>
      <c r="AL172" s="125"/>
    </row>
    <row r="173" ht="15.75" customHeight="1">
      <c r="A173" s="125"/>
      <c r="B173" s="125"/>
      <c r="C173" s="125"/>
      <c r="D173" s="125"/>
      <c r="E173" s="125"/>
      <c r="F173" s="125"/>
      <c r="G173" s="125"/>
      <c r="H173" s="125"/>
      <c r="I173" s="125"/>
      <c r="J173" s="125"/>
      <c r="K173" s="125"/>
      <c r="L173" s="125"/>
      <c r="M173" s="125"/>
      <c r="N173" s="125"/>
      <c r="O173" s="125"/>
      <c r="P173" s="125"/>
      <c r="Q173" s="125"/>
      <c r="R173" s="125"/>
      <c r="S173" s="125"/>
      <c r="T173" s="125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87"/>
      <c r="AF173" s="125"/>
      <c r="AG173" s="125"/>
      <c r="AH173" s="125"/>
      <c r="AI173" s="125"/>
      <c r="AJ173" s="125"/>
      <c r="AK173" s="125"/>
      <c r="AL173" s="125"/>
    </row>
    <row r="174" ht="15.75" customHeight="1">
      <c r="A174" s="125"/>
      <c r="B174" s="125"/>
      <c r="C174" s="125"/>
      <c r="D174" s="125"/>
      <c r="E174" s="125"/>
      <c r="F174" s="125"/>
      <c r="G174" s="125"/>
      <c r="H174" s="125"/>
      <c r="I174" s="125"/>
      <c r="J174" s="125"/>
      <c r="K174" s="125"/>
      <c r="L174" s="125"/>
      <c r="M174" s="125"/>
      <c r="N174" s="125"/>
      <c r="O174" s="125"/>
      <c r="P174" s="125"/>
      <c r="Q174" s="125"/>
      <c r="R174" s="125"/>
      <c r="S174" s="125"/>
      <c r="T174" s="125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87"/>
      <c r="AF174" s="125"/>
      <c r="AG174" s="125"/>
      <c r="AH174" s="125"/>
      <c r="AI174" s="125"/>
      <c r="AJ174" s="125"/>
      <c r="AK174" s="125"/>
      <c r="AL174" s="125"/>
    </row>
    <row r="175" ht="15.75" customHeight="1">
      <c r="A175" s="125"/>
      <c r="B175" s="125"/>
      <c r="C175" s="125"/>
      <c r="D175" s="125"/>
      <c r="E175" s="125"/>
      <c r="F175" s="125"/>
      <c r="G175" s="125"/>
      <c r="H175" s="125"/>
      <c r="I175" s="125"/>
      <c r="J175" s="125"/>
      <c r="K175" s="125"/>
      <c r="L175" s="125"/>
      <c r="M175" s="125"/>
      <c r="N175" s="125"/>
      <c r="O175" s="125"/>
      <c r="P175" s="125"/>
      <c r="Q175" s="125"/>
      <c r="R175" s="125"/>
      <c r="S175" s="125"/>
      <c r="T175" s="125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87"/>
      <c r="AF175" s="125"/>
      <c r="AG175" s="125"/>
      <c r="AH175" s="125"/>
      <c r="AI175" s="125"/>
      <c r="AJ175" s="125"/>
      <c r="AK175" s="125"/>
      <c r="AL175" s="125"/>
    </row>
    <row r="176" ht="15.75" customHeight="1">
      <c r="A176" s="125"/>
      <c r="B176" s="125"/>
      <c r="C176" s="125"/>
      <c r="D176" s="125"/>
      <c r="E176" s="125"/>
      <c r="F176" s="125"/>
      <c r="G176" s="125"/>
      <c r="H176" s="125"/>
      <c r="I176" s="125"/>
      <c r="J176" s="125"/>
      <c r="K176" s="125"/>
      <c r="L176" s="125"/>
      <c r="M176" s="125"/>
      <c r="N176" s="125"/>
      <c r="O176" s="125"/>
      <c r="P176" s="125"/>
      <c r="Q176" s="125"/>
      <c r="R176" s="125"/>
      <c r="S176" s="125"/>
      <c r="T176" s="125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87"/>
      <c r="AF176" s="125"/>
      <c r="AG176" s="125"/>
      <c r="AH176" s="125"/>
      <c r="AI176" s="125"/>
      <c r="AJ176" s="125"/>
      <c r="AK176" s="125"/>
      <c r="AL176" s="125"/>
    </row>
    <row r="177" ht="15.75" customHeight="1">
      <c r="A177" s="125"/>
      <c r="B177" s="125"/>
      <c r="C177" s="125"/>
      <c r="D177" s="125"/>
      <c r="E177" s="125"/>
      <c r="F177" s="125"/>
      <c r="G177" s="125"/>
      <c r="H177" s="125"/>
      <c r="I177" s="125"/>
      <c r="J177" s="125"/>
      <c r="K177" s="125"/>
      <c r="L177" s="125"/>
      <c r="M177" s="125"/>
      <c r="N177" s="125"/>
      <c r="O177" s="125"/>
      <c r="P177" s="125"/>
      <c r="Q177" s="125"/>
      <c r="R177" s="125"/>
      <c r="S177" s="125"/>
      <c r="T177" s="125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87"/>
      <c r="AF177" s="125"/>
      <c r="AG177" s="125"/>
      <c r="AH177" s="125"/>
      <c r="AI177" s="125"/>
      <c r="AJ177" s="125"/>
      <c r="AK177" s="125"/>
      <c r="AL177" s="125"/>
    </row>
    <row r="178" ht="15.75" customHeight="1">
      <c r="A178" s="125"/>
      <c r="B178" s="125"/>
      <c r="C178" s="125"/>
      <c r="D178" s="125"/>
      <c r="E178" s="125"/>
      <c r="F178" s="125"/>
      <c r="G178" s="125"/>
      <c r="H178" s="125"/>
      <c r="I178" s="125"/>
      <c r="J178" s="125"/>
      <c r="K178" s="125"/>
      <c r="L178" s="125"/>
      <c r="M178" s="125"/>
      <c r="N178" s="125"/>
      <c r="O178" s="125"/>
      <c r="P178" s="125"/>
      <c r="Q178" s="125"/>
      <c r="R178" s="125"/>
      <c r="S178" s="125"/>
      <c r="T178" s="125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87"/>
      <c r="AF178" s="125"/>
      <c r="AG178" s="125"/>
      <c r="AH178" s="125"/>
      <c r="AI178" s="125"/>
      <c r="AJ178" s="125"/>
      <c r="AK178" s="125"/>
      <c r="AL178" s="125"/>
    </row>
    <row r="179" ht="15.75" customHeight="1">
      <c r="A179" s="125"/>
      <c r="B179" s="125"/>
      <c r="C179" s="125"/>
      <c r="D179" s="125"/>
      <c r="E179" s="125"/>
      <c r="F179" s="125"/>
      <c r="G179" s="125"/>
      <c r="H179" s="125"/>
      <c r="I179" s="125"/>
      <c r="J179" s="125"/>
      <c r="K179" s="125"/>
      <c r="L179" s="125"/>
      <c r="M179" s="125"/>
      <c r="N179" s="125"/>
      <c r="O179" s="125"/>
      <c r="P179" s="125"/>
      <c r="Q179" s="125"/>
      <c r="R179" s="125"/>
      <c r="S179" s="125"/>
      <c r="T179" s="125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87"/>
      <c r="AF179" s="125"/>
      <c r="AG179" s="125"/>
      <c r="AH179" s="125"/>
      <c r="AI179" s="125"/>
      <c r="AJ179" s="125"/>
      <c r="AK179" s="125"/>
      <c r="AL179" s="125"/>
    </row>
    <row r="180" ht="15.75" customHeight="1">
      <c r="A180" s="125"/>
      <c r="B180" s="125"/>
      <c r="C180" s="125"/>
      <c r="D180" s="125"/>
      <c r="E180" s="125"/>
      <c r="F180" s="125"/>
      <c r="G180" s="125"/>
      <c r="H180" s="125"/>
      <c r="I180" s="125"/>
      <c r="J180" s="125"/>
      <c r="K180" s="125"/>
      <c r="L180" s="125"/>
      <c r="M180" s="125"/>
      <c r="N180" s="125"/>
      <c r="O180" s="125"/>
      <c r="P180" s="125"/>
      <c r="Q180" s="125"/>
      <c r="R180" s="125"/>
      <c r="S180" s="125"/>
      <c r="T180" s="125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87"/>
      <c r="AF180" s="125"/>
      <c r="AG180" s="125"/>
      <c r="AH180" s="125"/>
      <c r="AI180" s="125"/>
      <c r="AJ180" s="125"/>
      <c r="AK180" s="125"/>
      <c r="AL180" s="125"/>
    </row>
    <row r="181" ht="15.75" customHeight="1">
      <c r="A181" s="125"/>
      <c r="B181" s="125"/>
      <c r="C181" s="125"/>
      <c r="D181" s="125"/>
      <c r="E181" s="125"/>
      <c r="F181" s="125"/>
      <c r="G181" s="125"/>
      <c r="H181" s="125"/>
      <c r="I181" s="125"/>
      <c r="J181" s="125"/>
      <c r="K181" s="125"/>
      <c r="L181" s="125"/>
      <c r="M181" s="125"/>
      <c r="N181" s="125"/>
      <c r="O181" s="125"/>
      <c r="P181" s="125"/>
      <c r="Q181" s="125"/>
      <c r="R181" s="125"/>
      <c r="S181" s="125"/>
      <c r="T181" s="125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87"/>
      <c r="AF181" s="125"/>
      <c r="AG181" s="125"/>
      <c r="AH181" s="125"/>
      <c r="AI181" s="125"/>
      <c r="AJ181" s="125"/>
      <c r="AK181" s="125"/>
      <c r="AL181" s="125"/>
    </row>
    <row r="182" ht="15.75" customHeight="1">
      <c r="A182" s="125"/>
      <c r="B182" s="125"/>
      <c r="C182" s="125"/>
      <c r="D182" s="125"/>
      <c r="E182" s="125"/>
      <c r="F182" s="125"/>
      <c r="G182" s="125"/>
      <c r="H182" s="125"/>
      <c r="I182" s="125"/>
      <c r="J182" s="125"/>
      <c r="K182" s="125"/>
      <c r="L182" s="125"/>
      <c r="M182" s="125"/>
      <c r="N182" s="125"/>
      <c r="O182" s="125"/>
      <c r="P182" s="125"/>
      <c r="Q182" s="125"/>
      <c r="R182" s="125"/>
      <c r="S182" s="125"/>
      <c r="T182" s="125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87"/>
      <c r="AF182" s="125"/>
      <c r="AG182" s="125"/>
      <c r="AH182" s="125"/>
      <c r="AI182" s="125"/>
      <c r="AJ182" s="125"/>
      <c r="AK182" s="125"/>
      <c r="AL182" s="125"/>
    </row>
    <row r="183" ht="15.75" customHeight="1">
      <c r="A183" s="125"/>
      <c r="B183" s="125"/>
      <c r="C183" s="125"/>
      <c r="D183" s="125"/>
      <c r="E183" s="125"/>
      <c r="F183" s="125"/>
      <c r="G183" s="125"/>
      <c r="H183" s="125"/>
      <c r="I183" s="125"/>
      <c r="J183" s="125"/>
      <c r="K183" s="125"/>
      <c r="L183" s="125"/>
      <c r="M183" s="125"/>
      <c r="N183" s="125"/>
      <c r="O183" s="125"/>
      <c r="P183" s="125"/>
      <c r="Q183" s="125"/>
      <c r="R183" s="125"/>
      <c r="S183" s="125"/>
      <c r="T183" s="125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87"/>
      <c r="AF183" s="125"/>
      <c r="AG183" s="125"/>
      <c r="AH183" s="125"/>
      <c r="AI183" s="125"/>
      <c r="AJ183" s="125"/>
      <c r="AK183" s="125"/>
      <c r="AL183" s="125"/>
    </row>
    <row r="184" ht="15.75" customHeight="1">
      <c r="A184" s="125"/>
      <c r="B184" s="125"/>
      <c r="C184" s="125"/>
      <c r="D184" s="125"/>
      <c r="E184" s="125"/>
      <c r="F184" s="125"/>
      <c r="G184" s="125"/>
      <c r="H184" s="125"/>
      <c r="I184" s="125"/>
      <c r="J184" s="125"/>
      <c r="K184" s="125"/>
      <c r="L184" s="125"/>
      <c r="M184" s="125"/>
      <c r="N184" s="125"/>
      <c r="O184" s="125"/>
      <c r="P184" s="125"/>
      <c r="Q184" s="125"/>
      <c r="R184" s="125"/>
      <c r="S184" s="125"/>
      <c r="T184" s="125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87"/>
      <c r="AF184" s="125"/>
      <c r="AG184" s="125"/>
      <c r="AH184" s="125"/>
      <c r="AI184" s="125"/>
      <c r="AJ184" s="125"/>
      <c r="AK184" s="125"/>
      <c r="AL184" s="125"/>
    </row>
    <row r="185" ht="15.75" customHeight="1">
      <c r="A185" s="125"/>
      <c r="B185" s="125"/>
      <c r="C185" s="125"/>
      <c r="D185" s="125"/>
      <c r="E185" s="125"/>
      <c r="F185" s="125"/>
      <c r="G185" s="125"/>
      <c r="H185" s="125"/>
      <c r="I185" s="125"/>
      <c r="J185" s="125"/>
      <c r="K185" s="125"/>
      <c r="L185" s="125"/>
      <c r="M185" s="125"/>
      <c r="N185" s="125"/>
      <c r="O185" s="125"/>
      <c r="P185" s="125"/>
      <c r="Q185" s="125"/>
      <c r="R185" s="125"/>
      <c r="S185" s="125"/>
      <c r="T185" s="125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87"/>
      <c r="AF185" s="125"/>
      <c r="AG185" s="125"/>
      <c r="AH185" s="125"/>
      <c r="AI185" s="125"/>
      <c r="AJ185" s="125"/>
      <c r="AK185" s="125"/>
      <c r="AL185" s="125"/>
    </row>
    <row r="186" ht="15.75" customHeight="1">
      <c r="A186" s="125"/>
      <c r="B186" s="125"/>
      <c r="C186" s="125"/>
      <c r="D186" s="125"/>
      <c r="E186" s="125"/>
      <c r="F186" s="125"/>
      <c r="G186" s="125"/>
      <c r="H186" s="125"/>
      <c r="I186" s="125"/>
      <c r="J186" s="125"/>
      <c r="K186" s="125"/>
      <c r="L186" s="125"/>
      <c r="M186" s="125"/>
      <c r="N186" s="125"/>
      <c r="O186" s="125"/>
      <c r="P186" s="125"/>
      <c r="Q186" s="125"/>
      <c r="R186" s="125"/>
      <c r="S186" s="125"/>
      <c r="T186" s="125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87"/>
      <c r="AF186" s="125"/>
      <c r="AG186" s="125"/>
      <c r="AH186" s="125"/>
      <c r="AI186" s="125"/>
      <c r="AJ186" s="125"/>
      <c r="AK186" s="125"/>
      <c r="AL186" s="125"/>
    </row>
    <row r="187" ht="15.75" customHeight="1">
      <c r="A187" s="125"/>
      <c r="B187" s="125"/>
      <c r="C187" s="125"/>
      <c r="D187" s="125"/>
      <c r="E187" s="125"/>
      <c r="F187" s="125"/>
      <c r="G187" s="125"/>
      <c r="H187" s="125"/>
      <c r="I187" s="125"/>
      <c r="J187" s="125"/>
      <c r="K187" s="125"/>
      <c r="L187" s="125"/>
      <c r="M187" s="125"/>
      <c r="N187" s="125"/>
      <c r="O187" s="125"/>
      <c r="P187" s="125"/>
      <c r="Q187" s="125"/>
      <c r="R187" s="125"/>
      <c r="S187" s="125"/>
      <c r="T187" s="125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87"/>
      <c r="AF187" s="125"/>
      <c r="AG187" s="125"/>
      <c r="AH187" s="125"/>
      <c r="AI187" s="125"/>
      <c r="AJ187" s="125"/>
      <c r="AK187" s="125"/>
      <c r="AL187" s="125"/>
    </row>
    <row r="188" ht="15.75" customHeight="1">
      <c r="A188" s="125"/>
      <c r="B188" s="125"/>
      <c r="C188" s="125"/>
      <c r="D188" s="125"/>
      <c r="E188" s="125"/>
      <c r="F188" s="125"/>
      <c r="G188" s="125"/>
      <c r="H188" s="125"/>
      <c r="I188" s="125"/>
      <c r="J188" s="125"/>
      <c r="K188" s="125"/>
      <c r="L188" s="125"/>
      <c r="M188" s="125"/>
      <c r="N188" s="125"/>
      <c r="O188" s="125"/>
      <c r="P188" s="125"/>
      <c r="Q188" s="125"/>
      <c r="R188" s="125"/>
      <c r="S188" s="125"/>
      <c r="T188" s="125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87"/>
      <c r="AF188" s="125"/>
      <c r="AG188" s="125"/>
      <c r="AH188" s="125"/>
      <c r="AI188" s="125"/>
      <c r="AJ188" s="125"/>
      <c r="AK188" s="125"/>
      <c r="AL188" s="125"/>
    </row>
    <row r="189" ht="15.75" customHeight="1">
      <c r="A189" s="125"/>
      <c r="B189" s="125"/>
      <c r="C189" s="125"/>
      <c r="D189" s="125"/>
      <c r="E189" s="125"/>
      <c r="F189" s="125"/>
      <c r="G189" s="125"/>
      <c r="H189" s="125"/>
      <c r="I189" s="125"/>
      <c r="J189" s="125"/>
      <c r="K189" s="125"/>
      <c r="L189" s="125"/>
      <c r="M189" s="125"/>
      <c r="N189" s="125"/>
      <c r="O189" s="125"/>
      <c r="P189" s="125"/>
      <c r="Q189" s="125"/>
      <c r="R189" s="125"/>
      <c r="S189" s="125"/>
      <c r="T189" s="125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87"/>
      <c r="AF189" s="125"/>
      <c r="AG189" s="125"/>
      <c r="AH189" s="125"/>
      <c r="AI189" s="125"/>
      <c r="AJ189" s="125"/>
      <c r="AK189" s="125"/>
      <c r="AL189" s="125"/>
    </row>
    <row r="190" ht="15.75" customHeight="1">
      <c r="A190" s="125"/>
      <c r="B190" s="125"/>
      <c r="C190" s="125"/>
      <c r="D190" s="125"/>
      <c r="E190" s="125"/>
      <c r="F190" s="125"/>
      <c r="G190" s="125"/>
      <c r="H190" s="125"/>
      <c r="I190" s="125"/>
      <c r="J190" s="125"/>
      <c r="K190" s="125"/>
      <c r="L190" s="125"/>
      <c r="M190" s="125"/>
      <c r="N190" s="125"/>
      <c r="O190" s="125"/>
      <c r="P190" s="125"/>
      <c r="Q190" s="125"/>
      <c r="R190" s="125"/>
      <c r="S190" s="125"/>
      <c r="T190" s="125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87"/>
      <c r="AF190" s="125"/>
      <c r="AG190" s="125"/>
      <c r="AH190" s="125"/>
      <c r="AI190" s="125"/>
      <c r="AJ190" s="125"/>
      <c r="AK190" s="125"/>
      <c r="AL190" s="125"/>
    </row>
    <row r="191" ht="15.75" customHeight="1">
      <c r="A191" s="125"/>
      <c r="B191" s="125"/>
      <c r="C191" s="125"/>
      <c r="D191" s="125"/>
      <c r="E191" s="125"/>
      <c r="F191" s="125"/>
      <c r="G191" s="125"/>
      <c r="H191" s="125"/>
      <c r="I191" s="125"/>
      <c r="J191" s="125"/>
      <c r="K191" s="125"/>
      <c r="L191" s="125"/>
      <c r="M191" s="125"/>
      <c r="N191" s="125"/>
      <c r="O191" s="125"/>
      <c r="P191" s="125"/>
      <c r="Q191" s="125"/>
      <c r="R191" s="125"/>
      <c r="S191" s="125"/>
      <c r="T191" s="125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87"/>
      <c r="AF191" s="125"/>
      <c r="AG191" s="125"/>
      <c r="AH191" s="125"/>
      <c r="AI191" s="125"/>
      <c r="AJ191" s="125"/>
      <c r="AK191" s="125"/>
      <c r="AL191" s="125"/>
    </row>
    <row r="192" ht="15.75" customHeight="1">
      <c r="A192" s="125"/>
      <c r="B192" s="125"/>
      <c r="C192" s="125"/>
      <c r="D192" s="125"/>
      <c r="E192" s="125"/>
      <c r="F192" s="125"/>
      <c r="G192" s="125"/>
      <c r="H192" s="125"/>
      <c r="I192" s="125"/>
      <c r="J192" s="125"/>
      <c r="K192" s="125"/>
      <c r="L192" s="125"/>
      <c r="M192" s="125"/>
      <c r="N192" s="125"/>
      <c r="O192" s="125"/>
      <c r="P192" s="125"/>
      <c r="Q192" s="125"/>
      <c r="R192" s="125"/>
      <c r="S192" s="125"/>
      <c r="T192" s="125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87"/>
      <c r="AF192" s="125"/>
      <c r="AG192" s="125"/>
      <c r="AH192" s="125"/>
      <c r="AI192" s="125"/>
      <c r="AJ192" s="125"/>
      <c r="AK192" s="125"/>
      <c r="AL192" s="125"/>
    </row>
    <row r="193" ht="15.75" customHeight="1">
      <c r="A193" s="125"/>
      <c r="B193" s="125"/>
      <c r="C193" s="125"/>
      <c r="D193" s="125"/>
      <c r="E193" s="125"/>
      <c r="F193" s="125"/>
      <c r="G193" s="125"/>
      <c r="H193" s="125"/>
      <c r="I193" s="125"/>
      <c r="J193" s="125"/>
      <c r="K193" s="125"/>
      <c r="L193" s="125"/>
      <c r="M193" s="125"/>
      <c r="N193" s="125"/>
      <c r="O193" s="125"/>
      <c r="P193" s="125"/>
      <c r="Q193" s="125"/>
      <c r="R193" s="125"/>
      <c r="S193" s="125"/>
      <c r="T193" s="125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87"/>
      <c r="AF193" s="125"/>
      <c r="AG193" s="125"/>
      <c r="AH193" s="125"/>
      <c r="AI193" s="125"/>
      <c r="AJ193" s="125"/>
      <c r="AK193" s="125"/>
      <c r="AL193" s="125"/>
    </row>
    <row r="194" ht="15.75" customHeight="1">
      <c r="A194" s="125"/>
      <c r="B194" s="125"/>
      <c r="C194" s="125"/>
      <c r="D194" s="125"/>
      <c r="E194" s="125"/>
      <c r="F194" s="125"/>
      <c r="G194" s="125"/>
      <c r="H194" s="125"/>
      <c r="I194" s="125"/>
      <c r="J194" s="125"/>
      <c r="K194" s="125"/>
      <c r="L194" s="125"/>
      <c r="M194" s="125"/>
      <c r="N194" s="125"/>
      <c r="O194" s="125"/>
      <c r="P194" s="125"/>
      <c r="Q194" s="125"/>
      <c r="R194" s="125"/>
      <c r="S194" s="125"/>
      <c r="T194" s="125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87"/>
      <c r="AF194" s="125"/>
      <c r="AG194" s="125"/>
      <c r="AH194" s="125"/>
      <c r="AI194" s="125"/>
      <c r="AJ194" s="125"/>
      <c r="AK194" s="125"/>
      <c r="AL194" s="125"/>
    </row>
    <row r="195" ht="15.75" customHeight="1">
      <c r="A195" s="125"/>
      <c r="B195" s="125"/>
      <c r="C195" s="125"/>
      <c r="D195" s="125"/>
      <c r="E195" s="125"/>
      <c r="F195" s="125"/>
      <c r="G195" s="125"/>
      <c r="H195" s="125"/>
      <c r="I195" s="125"/>
      <c r="J195" s="125"/>
      <c r="K195" s="125"/>
      <c r="L195" s="125"/>
      <c r="M195" s="125"/>
      <c r="N195" s="125"/>
      <c r="O195" s="125"/>
      <c r="P195" s="125"/>
      <c r="Q195" s="125"/>
      <c r="R195" s="125"/>
      <c r="S195" s="125"/>
      <c r="T195" s="125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87"/>
      <c r="AF195" s="125"/>
      <c r="AG195" s="125"/>
      <c r="AH195" s="125"/>
      <c r="AI195" s="125"/>
      <c r="AJ195" s="125"/>
      <c r="AK195" s="125"/>
      <c r="AL195" s="125"/>
    </row>
    <row r="196" ht="15.75" customHeight="1">
      <c r="A196" s="125"/>
      <c r="B196" s="125"/>
      <c r="C196" s="125"/>
      <c r="D196" s="125"/>
      <c r="E196" s="125"/>
      <c r="F196" s="125"/>
      <c r="G196" s="125"/>
      <c r="H196" s="125"/>
      <c r="I196" s="125"/>
      <c r="J196" s="125"/>
      <c r="K196" s="125"/>
      <c r="L196" s="125"/>
      <c r="M196" s="125"/>
      <c r="N196" s="125"/>
      <c r="O196" s="125"/>
      <c r="P196" s="125"/>
      <c r="Q196" s="125"/>
      <c r="R196" s="125"/>
      <c r="S196" s="125"/>
      <c r="T196" s="125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87"/>
      <c r="AF196" s="125"/>
      <c r="AG196" s="125"/>
      <c r="AH196" s="125"/>
      <c r="AI196" s="125"/>
      <c r="AJ196" s="125"/>
      <c r="AK196" s="125"/>
      <c r="AL196" s="125"/>
    </row>
    <row r="197" ht="15.75" customHeight="1">
      <c r="A197" s="125"/>
      <c r="B197" s="125"/>
      <c r="C197" s="125"/>
      <c r="D197" s="125"/>
      <c r="E197" s="125"/>
      <c r="F197" s="125"/>
      <c r="G197" s="125"/>
      <c r="H197" s="125"/>
      <c r="I197" s="125"/>
      <c r="J197" s="125"/>
      <c r="K197" s="125"/>
      <c r="L197" s="125"/>
      <c r="M197" s="125"/>
      <c r="N197" s="125"/>
      <c r="O197" s="125"/>
      <c r="P197" s="125"/>
      <c r="Q197" s="125"/>
      <c r="R197" s="125"/>
      <c r="S197" s="125"/>
      <c r="T197" s="125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87"/>
      <c r="AF197" s="125"/>
      <c r="AG197" s="125"/>
      <c r="AH197" s="125"/>
      <c r="AI197" s="125"/>
      <c r="AJ197" s="125"/>
      <c r="AK197" s="125"/>
      <c r="AL197" s="125"/>
    </row>
    <row r="198" ht="15.75" customHeight="1">
      <c r="A198" s="125"/>
      <c r="B198" s="125"/>
      <c r="C198" s="125"/>
      <c r="D198" s="125"/>
      <c r="E198" s="125"/>
      <c r="F198" s="125"/>
      <c r="G198" s="125"/>
      <c r="H198" s="125"/>
      <c r="I198" s="125"/>
      <c r="J198" s="125"/>
      <c r="K198" s="125"/>
      <c r="L198" s="125"/>
      <c r="M198" s="125"/>
      <c r="N198" s="125"/>
      <c r="O198" s="125"/>
      <c r="P198" s="125"/>
      <c r="Q198" s="125"/>
      <c r="R198" s="125"/>
      <c r="S198" s="125"/>
      <c r="T198" s="125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87"/>
      <c r="AF198" s="125"/>
      <c r="AG198" s="125"/>
      <c r="AH198" s="125"/>
      <c r="AI198" s="125"/>
      <c r="AJ198" s="125"/>
      <c r="AK198" s="125"/>
      <c r="AL198" s="125"/>
    </row>
    <row r="199" ht="15.75" customHeight="1">
      <c r="A199" s="125"/>
      <c r="B199" s="125"/>
      <c r="C199" s="125"/>
      <c r="D199" s="125"/>
      <c r="E199" s="125"/>
      <c r="F199" s="125"/>
      <c r="G199" s="125"/>
      <c r="H199" s="125"/>
      <c r="I199" s="125"/>
      <c r="J199" s="125"/>
      <c r="K199" s="125"/>
      <c r="L199" s="125"/>
      <c r="M199" s="125"/>
      <c r="N199" s="125"/>
      <c r="O199" s="125"/>
      <c r="P199" s="125"/>
      <c r="Q199" s="125"/>
      <c r="R199" s="125"/>
      <c r="S199" s="125"/>
      <c r="T199" s="125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87"/>
      <c r="AF199" s="125"/>
      <c r="AG199" s="125"/>
      <c r="AH199" s="125"/>
      <c r="AI199" s="125"/>
      <c r="AJ199" s="125"/>
      <c r="AK199" s="125"/>
      <c r="AL199" s="125"/>
    </row>
    <row r="200" ht="15.75" customHeight="1">
      <c r="A200" s="125"/>
      <c r="B200" s="125"/>
      <c r="C200" s="125"/>
      <c r="D200" s="125"/>
      <c r="E200" s="125"/>
      <c r="F200" s="125"/>
      <c r="G200" s="125"/>
      <c r="H200" s="125"/>
      <c r="I200" s="125"/>
      <c r="J200" s="125"/>
      <c r="K200" s="125"/>
      <c r="L200" s="125"/>
      <c r="M200" s="125"/>
      <c r="N200" s="125"/>
      <c r="O200" s="125"/>
      <c r="P200" s="125"/>
      <c r="Q200" s="125"/>
      <c r="R200" s="125"/>
      <c r="S200" s="125"/>
      <c r="T200" s="125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87"/>
      <c r="AF200" s="125"/>
      <c r="AG200" s="125"/>
      <c r="AH200" s="125"/>
      <c r="AI200" s="125"/>
      <c r="AJ200" s="125"/>
      <c r="AK200" s="125"/>
      <c r="AL200" s="125"/>
    </row>
    <row r="201" ht="15.75" customHeight="1">
      <c r="A201" s="125"/>
      <c r="B201" s="125"/>
      <c r="C201" s="125"/>
      <c r="D201" s="125"/>
      <c r="E201" s="125"/>
      <c r="F201" s="125"/>
      <c r="G201" s="125"/>
      <c r="H201" s="125"/>
      <c r="I201" s="125"/>
      <c r="J201" s="125"/>
      <c r="K201" s="125"/>
      <c r="L201" s="125"/>
      <c r="M201" s="125"/>
      <c r="N201" s="125"/>
      <c r="O201" s="125"/>
      <c r="P201" s="125"/>
      <c r="Q201" s="125"/>
      <c r="R201" s="125"/>
      <c r="S201" s="125"/>
      <c r="T201" s="125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87"/>
      <c r="AF201" s="125"/>
      <c r="AG201" s="125"/>
      <c r="AH201" s="125"/>
      <c r="AI201" s="125"/>
      <c r="AJ201" s="125"/>
      <c r="AK201" s="125"/>
      <c r="AL201" s="125"/>
    </row>
    <row r="202" ht="15.75" customHeight="1">
      <c r="A202" s="125"/>
      <c r="B202" s="125"/>
      <c r="C202" s="125"/>
      <c r="D202" s="125"/>
      <c r="E202" s="125"/>
      <c r="F202" s="125"/>
      <c r="G202" s="125"/>
      <c r="H202" s="125"/>
      <c r="I202" s="125"/>
      <c r="J202" s="125"/>
      <c r="K202" s="125"/>
      <c r="L202" s="125"/>
      <c r="M202" s="125"/>
      <c r="N202" s="125"/>
      <c r="O202" s="125"/>
      <c r="P202" s="125"/>
      <c r="Q202" s="125"/>
      <c r="R202" s="125"/>
      <c r="S202" s="125"/>
      <c r="T202" s="125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87"/>
      <c r="AF202" s="125"/>
      <c r="AG202" s="125"/>
      <c r="AH202" s="125"/>
      <c r="AI202" s="125"/>
      <c r="AJ202" s="125"/>
      <c r="AK202" s="125"/>
      <c r="AL202" s="125"/>
    </row>
    <row r="203" ht="15.75" customHeight="1">
      <c r="A203" s="125"/>
      <c r="B203" s="125"/>
      <c r="C203" s="125"/>
      <c r="D203" s="125"/>
      <c r="E203" s="125"/>
      <c r="F203" s="125"/>
      <c r="G203" s="125"/>
      <c r="H203" s="125"/>
      <c r="I203" s="125"/>
      <c r="J203" s="125"/>
      <c r="K203" s="125"/>
      <c r="L203" s="125"/>
      <c r="M203" s="125"/>
      <c r="N203" s="125"/>
      <c r="O203" s="125"/>
      <c r="P203" s="125"/>
      <c r="Q203" s="125"/>
      <c r="R203" s="125"/>
      <c r="S203" s="125"/>
      <c r="T203" s="125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87"/>
      <c r="AF203" s="125"/>
      <c r="AG203" s="125"/>
      <c r="AH203" s="125"/>
      <c r="AI203" s="125"/>
      <c r="AJ203" s="125"/>
      <c r="AK203" s="125"/>
      <c r="AL203" s="125"/>
    </row>
    <row r="204" ht="15.75" customHeight="1">
      <c r="A204" s="125"/>
      <c r="B204" s="125"/>
      <c r="C204" s="125"/>
      <c r="D204" s="125"/>
      <c r="E204" s="125"/>
      <c r="F204" s="125"/>
      <c r="G204" s="125"/>
      <c r="H204" s="125"/>
      <c r="I204" s="125"/>
      <c r="J204" s="125"/>
      <c r="K204" s="125"/>
      <c r="L204" s="125"/>
      <c r="M204" s="125"/>
      <c r="N204" s="125"/>
      <c r="O204" s="125"/>
      <c r="P204" s="125"/>
      <c r="Q204" s="125"/>
      <c r="R204" s="125"/>
      <c r="S204" s="125"/>
      <c r="T204" s="125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87"/>
      <c r="AF204" s="125"/>
      <c r="AG204" s="125"/>
      <c r="AH204" s="125"/>
      <c r="AI204" s="125"/>
      <c r="AJ204" s="125"/>
      <c r="AK204" s="125"/>
      <c r="AL204" s="125"/>
    </row>
    <row r="205" ht="15.75" customHeight="1">
      <c r="A205" s="125"/>
      <c r="B205" s="125"/>
      <c r="C205" s="125"/>
      <c r="D205" s="125"/>
      <c r="E205" s="125"/>
      <c r="F205" s="125"/>
      <c r="G205" s="125"/>
      <c r="H205" s="125"/>
      <c r="I205" s="125"/>
      <c r="J205" s="125"/>
      <c r="K205" s="125"/>
      <c r="L205" s="125"/>
      <c r="M205" s="125"/>
      <c r="N205" s="125"/>
      <c r="O205" s="125"/>
      <c r="P205" s="125"/>
      <c r="Q205" s="125"/>
      <c r="R205" s="125"/>
      <c r="S205" s="125"/>
      <c r="T205" s="125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87"/>
      <c r="AF205" s="125"/>
      <c r="AG205" s="125"/>
      <c r="AH205" s="125"/>
      <c r="AI205" s="125"/>
      <c r="AJ205" s="125"/>
      <c r="AK205" s="125"/>
      <c r="AL205" s="125"/>
    </row>
    <row r="206" ht="15.75" customHeight="1">
      <c r="A206" s="125"/>
      <c r="B206" s="125"/>
      <c r="C206" s="125"/>
      <c r="D206" s="125"/>
      <c r="E206" s="125"/>
      <c r="F206" s="125"/>
      <c r="G206" s="125"/>
      <c r="H206" s="125"/>
      <c r="I206" s="125"/>
      <c r="J206" s="125"/>
      <c r="K206" s="125"/>
      <c r="L206" s="125"/>
      <c r="M206" s="125"/>
      <c r="N206" s="125"/>
      <c r="O206" s="125"/>
      <c r="P206" s="125"/>
      <c r="Q206" s="125"/>
      <c r="R206" s="125"/>
      <c r="S206" s="125"/>
      <c r="T206" s="125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87"/>
      <c r="AF206" s="125"/>
      <c r="AG206" s="125"/>
      <c r="AH206" s="125"/>
      <c r="AI206" s="125"/>
      <c r="AJ206" s="125"/>
      <c r="AK206" s="125"/>
      <c r="AL206" s="125"/>
    </row>
    <row r="207" ht="15.75" customHeight="1">
      <c r="A207" s="125"/>
      <c r="B207" s="125"/>
      <c r="C207" s="125"/>
      <c r="D207" s="125"/>
      <c r="E207" s="125"/>
      <c r="F207" s="125"/>
      <c r="G207" s="125"/>
      <c r="H207" s="125"/>
      <c r="I207" s="125"/>
      <c r="J207" s="125"/>
      <c r="K207" s="125"/>
      <c r="L207" s="125"/>
      <c r="M207" s="125"/>
      <c r="N207" s="125"/>
      <c r="O207" s="125"/>
      <c r="P207" s="125"/>
      <c r="Q207" s="125"/>
      <c r="R207" s="125"/>
      <c r="S207" s="125"/>
      <c r="T207" s="125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87"/>
      <c r="AF207" s="125"/>
      <c r="AG207" s="125"/>
      <c r="AH207" s="125"/>
      <c r="AI207" s="125"/>
      <c r="AJ207" s="125"/>
      <c r="AK207" s="125"/>
      <c r="AL207" s="125"/>
    </row>
    <row r="208" ht="15.75" customHeight="1">
      <c r="A208" s="125"/>
      <c r="B208" s="125"/>
      <c r="C208" s="125"/>
      <c r="D208" s="125"/>
      <c r="E208" s="125"/>
      <c r="F208" s="125"/>
      <c r="G208" s="125"/>
      <c r="H208" s="125"/>
      <c r="I208" s="125"/>
      <c r="J208" s="125"/>
      <c r="K208" s="125"/>
      <c r="L208" s="125"/>
      <c r="M208" s="125"/>
      <c r="N208" s="125"/>
      <c r="O208" s="125"/>
      <c r="P208" s="125"/>
      <c r="Q208" s="125"/>
      <c r="R208" s="125"/>
      <c r="S208" s="125"/>
      <c r="T208" s="125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87"/>
      <c r="AF208" s="125"/>
      <c r="AG208" s="125"/>
      <c r="AH208" s="125"/>
      <c r="AI208" s="125"/>
      <c r="AJ208" s="125"/>
      <c r="AK208" s="125"/>
      <c r="AL208" s="125"/>
    </row>
    <row r="209" ht="15.75" customHeight="1">
      <c r="A209" s="125"/>
      <c r="B209" s="125"/>
      <c r="C209" s="125"/>
      <c r="D209" s="125"/>
      <c r="E209" s="125"/>
      <c r="F209" s="125"/>
      <c r="G209" s="125"/>
      <c r="H209" s="125"/>
      <c r="I209" s="125"/>
      <c r="J209" s="125"/>
      <c r="K209" s="125"/>
      <c r="L209" s="125"/>
      <c r="M209" s="125"/>
      <c r="N209" s="125"/>
      <c r="O209" s="125"/>
      <c r="P209" s="125"/>
      <c r="Q209" s="125"/>
      <c r="R209" s="125"/>
      <c r="S209" s="125"/>
      <c r="T209" s="125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87"/>
      <c r="AF209" s="125"/>
      <c r="AG209" s="125"/>
      <c r="AH209" s="125"/>
      <c r="AI209" s="125"/>
      <c r="AJ209" s="125"/>
      <c r="AK209" s="125"/>
      <c r="AL209" s="125"/>
    </row>
    <row r="210" ht="15.75" customHeight="1">
      <c r="A210" s="125"/>
      <c r="B210" s="125"/>
      <c r="C210" s="125"/>
      <c r="D210" s="125"/>
      <c r="E210" s="125"/>
      <c r="F210" s="125"/>
      <c r="G210" s="125"/>
      <c r="H210" s="125"/>
      <c r="I210" s="125"/>
      <c r="J210" s="125"/>
      <c r="K210" s="125"/>
      <c r="L210" s="125"/>
      <c r="M210" s="125"/>
      <c r="N210" s="125"/>
      <c r="O210" s="125"/>
      <c r="P210" s="125"/>
      <c r="Q210" s="125"/>
      <c r="R210" s="125"/>
      <c r="S210" s="125"/>
      <c r="T210" s="125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87"/>
      <c r="AF210" s="125"/>
      <c r="AG210" s="125"/>
      <c r="AH210" s="125"/>
      <c r="AI210" s="125"/>
      <c r="AJ210" s="125"/>
      <c r="AK210" s="125"/>
      <c r="AL210" s="125"/>
    </row>
    <row r="211" ht="15.75" customHeight="1">
      <c r="A211" s="125"/>
      <c r="B211" s="125"/>
      <c r="C211" s="125"/>
      <c r="D211" s="125"/>
      <c r="E211" s="125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25"/>
      <c r="S211" s="125"/>
      <c r="T211" s="125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87"/>
      <c r="AF211" s="125"/>
      <c r="AG211" s="125"/>
      <c r="AH211" s="125"/>
      <c r="AI211" s="125"/>
      <c r="AJ211" s="125"/>
      <c r="AK211" s="125"/>
      <c r="AL211" s="125"/>
    </row>
    <row r="212" ht="15.75" customHeight="1">
      <c r="A212" s="125"/>
      <c r="B212" s="125"/>
      <c r="C212" s="125"/>
      <c r="D212" s="125"/>
      <c r="E212" s="125"/>
      <c r="F212" s="125"/>
      <c r="G212" s="125"/>
      <c r="H212" s="125"/>
      <c r="I212" s="125"/>
      <c r="J212" s="125"/>
      <c r="K212" s="125"/>
      <c r="L212" s="125"/>
      <c r="M212" s="125"/>
      <c r="N212" s="125"/>
      <c r="O212" s="125"/>
      <c r="P212" s="125"/>
      <c r="Q212" s="125"/>
      <c r="R212" s="125"/>
      <c r="S212" s="125"/>
      <c r="T212" s="125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87"/>
      <c r="AF212" s="125"/>
      <c r="AG212" s="125"/>
      <c r="AH212" s="125"/>
      <c r="AI212" s="125"/>
      <c r="AJ212" s="125"/>
      <c r="AK212" s="125"/>
      <c r="AL212" s="125"/>
    </row>
    <row r="213" ht="15.75" customHeight="1">
      <c r="A213" s="125"/>
      <c r="B213" s="125"/>
      <c r="C213" s="125"/>
      <c r="D213" s="125"/>
      <c r="E213" s="125"/>
      <c r="F213" s="125"/>
      <c r="G213" s="125"/>
      <c r="H213" s="125"/>
      <c r="I213" s="125"/>
      <c r="J213" s="125"/>
      <c r="K213" s="125"/>
      <c r="L213" s="125"/>
      <c r="M213" s="125"/>
      <c r="N213" s="125"/>
      <c r="O213" s="125"/>
      <c r="P213" s="125"/>
      <c r="Q213" s="125"/>
      <c r="R213" s="125"/>
      <c r="S213" s="125"/>
      <c r="T213" s="125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87"/>
      <c r="AF213" s="125"/>
      <c r="AG213" s="125"/>
      <c r="AH213" s="125"/>
      <c r="AI213" s="125"/>
      <c r="AJ213" s="125"/>
      <c r="AK213" s="125"/>
      <c r="AL213" s="125"/>
    </row>
    <row r="214" ht="15.75" customHeight="1">
      <c r="A214" s="125"/>
      <c r="B214" s="125"/>
      <c r="C214" s="125"/>
      <c r="D214" s="125"/>
      <c r="E214" s="125"/>
      <c r="F214" s="125"/>
      <c r="G214" s="125"/>
      <c r="H214" s="125"/>
      <c r="I214" s="125"/>
      <c r="J214" s="125"/>
      <c r="K214" s="125"/>
      <c r="L214" s="125"/>
      <c r="M214" s="125"/>
      <c r="N214" s="125"/>
      <c r="O214" s="125"/>
      <c r="P214" s="125"/>
      <c r="Q214" s="125"/>
      <c r="R214" s="125"/>
      <c r="S214" s="125"/>
      <c r="T214" s="125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87"/>
      <c r="AF214" s="125"/>
      <c r="AG214" s="125"/>
      <c r="AH214" s="125"/>
      <c r="AI214" s="125"/>
      <c r="AJ214" s="125"/>
      <c r="AK214" s="125"/>
      <c r="AL214" s="125"/>
    </row>
    <row r="215" ht="15.75" customHeight="1">
      <c r="A215" s="125"/>
      <c r="B215" s="125"/>
      <c r="C215" s="125"/>
      <c r="D215" s="125"/>
      <c r="E215" s="125"/>
      <c r="F215" s="125"/>
      <c r="G215" s="125"/>
      <c r="H215" s="125"/>
      <c r="I215" s="125"/>
      <c r="J215" s="125"/>
      <c r="K215" s="125"/>
      <c r="L215" s="125"/>
      <c r="M215" s="125"/>
      <c r="N215" s="125"/>
      <c r="O215" s="125"/>
      <c r="P215" s="125"/>
      <c r="Q215" s="125"/>
      <c r="R215" s="125"/>
      <c r="S215" s="125"/>
      <c r="T215" s="125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87"/>
      <c r="AF215" s="125"/>
      <c r="AG215" s="125"/>
      <c r="AH215" s="125"/>
      <c r="AI215" s="125"/>
      <c r="AJ215" s="125"/>
      <c r="AK215" s="125"/>
      <c r="AL215" s="125"/>
    </row>
    <row r="216" ht="15.75" customHeight="1">
      <c r="A216" s="125"/>
      <c r="B216" s="125"/>
      <c r="C216" s="125"/>
      <c r="D216" s="125"/>
      <c r="E216" s="125"/>
      <c r="F216" s="125"/>
      <c r="G216" s="125"/>
      <c r="H216" s="125"/>
      <c r="I216" s="125"/>
      <c r="J216" s="125"/>
      <c r="K216" s="125"/>
      <c r="L216" s="125"/>
      <c r="M216" s="125"/>
      <c r="N216" s="125"/>
      <c r="O216" s="125"/>
      <c r="P216" s="125"/>
      <c r="Q216" s="125"/>
      <c r="R216" s="125"/>
      <c r="S216" s="125"/>
      <c r="T216" s="125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87"/>
      <c r="AF216" s="125"/>
      <c r="AG216" s="125"/>
      <c r="AH216" s="125"/>
      <c r="AI216" s="125"/>
      <c r="AJ216" s="125"/>
      <c r="AK216" s="125"/>
      <c r="AL216" s="125"/>
    </row>
    <row r="217" ht="15.75" customHeight="1">
      <c r="A217" s="125"/>
      <c r="B217" s="125"/>
      <c r="C217" s="125"/>
      <c r="D217" s="125"/>
      <c r="E217" s="125"/>
      <c r="F217" s="125"/>
      <c r="G217" s="125"/>
      <c r="H217" s="125"/>
      <c r="I217" s="125"/>
      <c r="J217" s="125"/>
      <c r="K217" s="125"/>
      <c r="L217" s="125"/>
      <c r="M217" s="125"/>
      <c r="N217" s="125"/>
      <c r="O217" s="125"/>
      <c r="P217" s="125"/>
      <c r="Q217" s="125"/>
      <c r="R217" s="125"/>
      <c r="S217" s="125"/>
      <c r="T217" s="125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87"/>
      <c r="AF217" s="125"/>
      <c r="AG217" s="125"/>
      <c r="AH217" s="125"/>
      <c r="AI217" s="125"/>
      <c r="AJ217" s="125"/>
      <c r="AK217" s="125"/>
      <c r="AL217" s="125"/>
    </row>
    <row r="218" ht="15.75" customHeight="1">
      <c r="A218" s="125"/>
      <c r="B218" s="125"/>
      <c r="C218" s="125"/>
      <c r="D218" s="125"/>
      <c r="E218" s="125"/>
      <c r="F218" s="125"/>
      <c r="G218" s="125"/>
      <c r="H218" s="125"/>
      <c r="I218" s="125"/>
      <c r="J218" s="125"/>
      <c r="K218" s="125"/>
      <c r="L218" s="125"/>
      <c r="M218" s="125"/>
      <c r="N218" s="125"/>
      <c r="O218" s="125"/>
      <c r="P218" s="125"/>
      <c r="Q218" s="125"/>
      <c r="R218" s="125"/>
      <c r="S218" s="125"/>
      <c r="T218" s="125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87"/>
      <c r="AF218" s="125"/>
      <c r="AG218" s="125"/>
      <c r="AH218" s="125"/>
      <c r="AI218" s="125"/>
      <c r="AJ218" s="125"/>
      <c r="AK218" s="125"/>
      <c r="AL218" s="125"/>
    </row>
    <row r="219" ht="15.75" customHeight="1">
      <c r="A219" s="125"/>
      <c r="B219" s="125"/>
      <c r="C219" s="125"/>
      <c r="D219" s="125"/>
      <c r="E219" s="125"/>
      <c r="F219" s="125"/>
      <c r="G219" s="125"/>
      <c r="H219" s="125"/>
      <c r="I219" s="125"/>
      <c r="J219" s="125"/>
      <c r="K219" s="125"/>
      <c r="L219" s="125"/>
      <c r="M219" s="125"/>
      <c r="N219" s="125"/>
      <c r="O219" s="125"/>
      <c r="P219" s="125"/>
      <c r="Q219" s="125"/>
      <c r="R219" s="125"/>
      <c r="S219" s="125"/>
      <c r="T219" s="125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87"/>
      <c r="AF219" s="125"/>
      <c r="AG219" s="125"/>
      <c r="AH219" s="125"/>
      <c r="AI219" s="125"/>
      <c r="AJ219" s="125"/>
      <c r="AK219" s="125"/>
      <c r="AL219" s="125"/>
    </row>
    <row r="220" ht="15.75" customHeight="1">
      <c r="A220" s="125"/>
      <c r="B220" s="125"/>
      <c r="C220" s="125"/>
      <c r="D220" s="125"/>
      <c r="E220" s="125"/>
      <c r="F220" s="125"/>
      <c r="G220" s="125"/>
      <c r="H220" s="125"/>
      <c r="I220" s="125"/>
      <c r="J220" s="125"/>
      <c r="K220" s="125"/>
      <c r="L220" s="125"/>
      <c r="M220" s="125"/>
      <c r="N220" s="125"/>
      <c r="O220" s="125"/>
      <c r="P220" s="125"/>
      <c r="Q220" s="125"/>
      <c r="R220" s="125"/>
      <c r="S220" s="125"/>
      <c r="T220" s="125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87"/>
      <c r="AF220" s="125"/>
      <c r="AG220" s="125"/>
      <c r="AH220" s="125"/>
      <c r="AI220" s="125"/>
      <c r="AJ220" s="125"/>
      <c r="AK220" s="125"/>
      <c r="AL220" s="125"/>
    </row>
    <row r="221" ht="15.75" customHeight="1">
      <c r="A221" s="125"/>
      <c r="B221" s="125"/>
      <c r="C221" s="125"/>
      <c r="D221" s="125"/>
      <c r="E221" s="125"/>
      <c r="F221" s="125"/>
      <c r="G221" s="125"/>
      <c r="H221" s="125"/>
      <c r="I221" s="125"/>
      <c r="J221" s="125"/>
      <c r="K221" s="125"/>
      <c r="L221" s="125"/>
      <c r="M221" s="125"/>
      <c r="N221" s="125"/>
      <c r="O221" s="125"/>
      <c r="P221" s="125"/>
      <c r="Q221" s="125"/>
      <c r="R221" s="125"/>
      <c r="S221" s="125"/>
      <c r="T221" s="125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87"/>
      <c r="AF221" s="125"/>
      <c r="AG221" s="125"/>
      <c r="AH221" s="125"/>
      <c r="AI221" s="125"/>
      <c r="AJ221" s="125"/>
      <c r="AK221" s="125"/>
      <c r="AL221" s="125"/>
    </row>
    <row r="222" ht="15.75" customHeight="1">
      <c r="A222" s="125"/>
      <c r="B222" s="125"/>
      <c r="C222" s="125"/>
      <c r="D222" s="125"/>
      <c r="E222" s="125"/>
      <c r="F222" s="125"/>
      <c r="G222" s="125"/>
      <c r="H222" s="125"/>
      <c r="I222" s="125"/>
      <c r="J222" s="125"/>
      <c r="K222" s="125"/>
      <c r="L222" s="125"/>
      <c r="M222" s="125"/>
      <c r="N222" s="125"/>
      <c r="O222" s="125"/>
      <c r="P222" s="125"/>
      <c r="Q222" s="125"/>
      <c r="R222" s="125"/>
      <c r="S222" s="125"/>
      <c r="T222" s="125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87"/>
      <c r="AF222" s="125"/>
      <c r="AG222" s="125"/>
      <c r="AH222" s="125"/>
      <c r="AI222" s="125"/>
      <c r="AJ222" s="125"/>
      <c r="AK222" s="125"/>
      <c r="AL222" s="125"/>
    </row>
    <row r="223" ht="15.75" customHeight="1">
      <c r="A223" s="125"/>
      <c r="B223" s="125"/>
      <c r="C223" s="125"/>
      <c r="D223" s="125"/>
      <c r="E223" s="125"/>
      <c r="F223" s="125"/>
      <c r="G223" s="125"/>
      <c r="H223" s="125"/>
      <c r="I223" s="125"/>
      <c r="J223" s="125"/>
      <c r="K223" s="125"/>
      <c r="L223" s="125"/>
      <c r="M223" s="125"/>
      <c r="N223" s="125"/>
      <c r="O223" s="125"/>
      <c r="P223" s="125"/>
      <c r="Q223" s="125"/>
      <c r="R223" s="125"/>
      <c r="S223" s="125"/>
      <c r="T223" s="125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87"/>
      <c r="AF223" s="125"/>
      <c r="AG223" s="125"/>
      <c r="AH223" s="125"/>
      <c r="AI223" s="125"/>
      <c r="AJ223" s="125"/>
      <c r="AK223" s="125"/>
      <c r="AL223" s="125"/>
    </row>
    <row r="224" ht="15.75" customHeight="1">
      <c r="A224" s="125"/>
      <c r="B224" s="125"/>
      <c r="C224" s="125"/>
      <c r="D224" s="125"/>
      <c r="E224" s="125"/>
      <c r="F224" s="125"/>
      <c r="G224" s="125"/>
      <c r="H224" s="125"/>
      <c r="I224" s="125"/>
      <c r="J224" s="125"/>
      <c r="K224" s="125"/>
      <c r="L224" s="125"/>
      <c r="M224" s="125"/>
      <c r="N224" s="125"/>
      <c r="O224" s="125"/>
      <c r="P224" s="125"/>
      <c r="Q224" s="125"/>
      <c r="R224" s="125"/>
      <c r="S224" s="125"/>
      <c r="T224" s="125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87"/>
      <c r="AF224" s="125"/>
      <c r="AG224" s="125"/>
      <c r="AH224" s="125"/>
      <c r="AI224" s="125"/>
      <c r="AJ224" s="125"/>
      <c r="AK224" s="125"/>
      <c r="AL224" s="125"/>
    </row>
    <row r="225" ht="15.75" customHeight="1">
      <c r="A225" s="125"/>
      <c r="B225" s="125"/>
      <c r="C225" s="125"/>
      <c r="D225" s="125"/>
      <c r="E225" s="125"/>
      <c r="F225" s="125"/>
      <c r="G225" s="125"/>
      <c r="H225" s="125"/>
      <c r="I225" s="125"/>
      <c r="J225" s="125"/>
      <c r="K225" s="125"/>
      <c r="L225" s="125"/>
      <c r="M225" s="125"/>
      <c r="N225" s="125"/>
      <c r="O225" s="125"/>
      <c r="P225" s="125"/>
      <c r="Q225" s="125"/>
      <c r="R225" s="125"/>
      <c r="S225" s="125"/>
      <c r="T225" s="125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87"/>
      <c r="AF225" s="125"/>
      <c r="AG225" s="125"/>
      <c r="AH225" s="125"/>
      <c r="AI225" s="125"/>
      <c r="AJ225" s="125"/>
      <c r="AK225" s="125"/>
      <c r="AL225" s="125"/>
    </row>
    <row r="226" ht="15.75" customHeight="1">
      <c r="A226" s="125"/>
      <c r="B226" s="125"/>
      <c r="C226" s="125"/>
      <c r="D226" s="125"/>
      <c r="E226" s="125"/>
      <c r="F226" s="125"/>
      <c r="G226" s="125"/>
      <c r="H226" s="125"/>
      <c r="I226" s="125"/>
      <c r="J226" s="125"/>
      <c r="K226" s="125"/>
      <c r="L226" s="125"/>
      <c r="M226" s="125"/>
      <c r="N226" s="125"/>
      <c r="O226" s="125"/>
      <c r="P226" s="125"/>
      <c r="Q226" s="125"/>
      <c r="R226" s="125"/>
      <c r="S226" s="125"/>
      <c r="T226" s="125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87"/>
      <c r="AF226" s="125"/>
      <c r="AG226" s="125"/>
      <c r="AH226" s="125"/>
      <c r="AI226" s="125"/>
      <c r="AJ226" s="125"/>
      <c r="AK226" s="125"/>
      <c r="AL226" s="125"/>
    </row>
    <row r="227" ht="15.75" customHeight="1">
      <c r="A227" s="125"/>
      <c r="B227" s="125"/>
      <c r="C227" s="125"/>
      <c r="D227" s="125"/>
      <c r="E227" s="125"/>
      <c r="F227" s="125"/>
      <c r="G227" s="125"/>
      <c r="H227" s="125"/>
      <c r="I227" s="125"/>
      <c r="J227" s="125"/>
      <c r="K227" s="125"/>
      <c r="L227" s="125"/>
      <c r="M227" s="125"/>
      <c r="N227" s="125"/>
      <c r="O227" s="125"/>
      <c r="P227" s="125"/>
      <c r="Q227" s="125"/>
      <c r="R227" s="125"/>
      <c r="S227" s="125"/>
      <c r="T227" s="125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87"/>
      <c r="AF227" s="125"/>
      <c r="AG227" s="125"/>
      <c r="AH227" s="125"/>
      <c r="AI227" s="125"/>
      <c r="AJ227" s="125"/>
      <c r="AK227" s="125"/>
      <c r="AL227" s="125"/>
    </row>
    <row r="228" ht="15.75" customHeight="1">
      <c r="A228" s="125"/>
      <c r="B228" s="125"/>
      <c r="C228" s="125"/>
      <c r="D228" s="125"/>
      <c r="E228" s="125"/>
      <c r="F228" s="125"/>
      <c r="G228" s="125"/>
      <c r="H228" s="125"/>
      <c r="I228" s="125"/>
      <c r="J228" s="125"/>
      <c r="K228" s="125"/>
      <c r="L228" s="125"/>
      <c r="M228" s="125"/>
      <c r="N228" s="125"/>
      <c r="O228" s="125"/>
      <c r="P228" s="125"/>
      <c r="Q228" s="125"/>
      <c r="R228" s="125"/>
      <c r="S228" s="125"/>
      <c r="T228" s="125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87"/>
      <c r="AF228" s="125"/>
      <c r="AG228" s="125"/>
      <c r="AH228" s="125"/>
      <c r="AI228" s="125"/>
      <c r="AJ228" s="125"/>
      <c r="AK228" s="125"/>
      <c r="AL228" s="125"/>
    </row>
    <row r="229" ht="15.75" customHeight="1">
      <c r="A229" s="125"/>
      <c r="B229" s="125"/>
      <c r="C229" s="125"/>
      <c r="D229" s="125"/>
      <c r="E229" s="125"/>
      <c r="F229" s="125"/>
      <c r="G229" s="125"/>
      <c r="H229" s="125"/>
      <c r="I229" s="125"/>
      <c r="J229" s="125"/>
      <c r="K229" s="125"/>
      <c r="L229" s="125"/>
      <c r="M229" s="125"/>
      <c r="N229" s="125"/>
      <c r="O229" s="125"/>
      <c r="P229" s="125"/>
      <c r="Q229" s="125"/>
      <c r="R229" s="125"/>
      <c r="S229" s="125"/>
      <c r="T229" s="125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87"/>
      <c r="AF229" s="125"/>
      <c r="AG229" s="125"/>
      <c r="AH229" s="125"/>
      <c r="AI229" s="125"/>
      <c r="AJ229" s="125"/>
      <c r="AK229" s="125"/>
      <c r="AL229" s="125"/>
    </row>
    <row r="230" ht="15.75" customHeight="1">
      <c r="A230" s="125"/>
      <c r="B230" s="125"/>
      <c r="C230" s="125"/>
      <c r="D230" s="125"/>
      <c r="E230" s="125"/>
      <c r="F230" s="125"/>
      <c r="G230" s="125"/>
      <c r="H230" s="125"/>
      <c r="I230" s="125"/>
      <c r="J230" s="125"/>
      <c r="K230" s="125"/>
      <c r="L230" s="125"/>
      <c r="M230" s="125"/>
      <c r="N230" s="125"/>
      <c r="O230" s="125"/>
      <c r="P230" s="125"/>
      <c r="Q230" s="125"/>
      <c r="R230" s="125"/>
      <c r="S230" s="125"/>
      <c r="T230" s="125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87"/>
      <c r="AF230" s="125"/>
      <c r="AG230" s="125"/>
      <c r="AH230" s="125"/>
      <c r="AI230" s="125"/>
      <c r="AJ230" s="125"/>
      <c r="AK230" s="125"/>
      <c r="AL230" s="125"/>
    </row>
    <row r="231" ht="15.75" customHeight="1">
      <c r="A231" s="125"/>
      <c r="B231" s="125"/>
      <c r="C231" s="125"/>
      <c r="D231" s="125"/>
      <c r="E231" s="125"/>
      <c r="F231" s="125"/>
      <c r="G231" s="125"/>
      <c r="H231" s="125"/>
      <c r="I231" s="125"/>
      <c r="J231" s="125"/>
      <c r="K231" s="125"/>
      <c r="L231" s="125"/>
      <c r="M231" s="125"/>
      <c r="N231" s="125"/>
      <c r="O231" s="125"/>
      <c r="P231" s="125"/>
      <c r="Q231" s="125"/>
      <c r="R231" s="125"/>
      <c r="S231" s="125"/>
      <c r="T231" s="125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87"/>
      <c r="AF231" s="125"/>
      <c r="AG231" s="125"/>
      <c r="AH231" s="125"/>
      <c r="AI231" s="125"/>
      <c r="AJ231" s="125"/>
      <c r="AK231" s="125"/>
      <c r="AL231" s="125"/>
    </row>
    <row r="232" ht="15.75" customHeight="1">
      <c r="A232" s="125"/>
      <c r="B232" s="125"/>
      <c r="C232" s="125"/>
      <c r="D232" s="125"/>
      <c r="E232" s="125"/>
      <c r="F232" s="125"/>
      <c r="G232" s="125"/>
      <c r="H232" s="125"/>
      <c r="I232" s="125"/>
      <c r="J232" s="125"/>
      <c r="K232" s="125"/>
      <c r="L232" s="125"/>
      <c r="M232" s="125"/>
      <c r="N232" s="125"/>
      <c r="O232" s="125"/>
      <c r="P232" s="125"/>
      <c r="Q232" s="125"/>
      <c r="R232" s="125"/>
      <c r="S232" s="125"/>
      <c r="T232" s="125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87"/>
      <c r="AF232" s="125"/>
      <c r="AG232" s="125"/>
      <c r="AH232" s="125"/>
      <c r="AI232" s="125"/>
      <c r="AJ232" s="125"/>
      <c r="AK232" s="125"/>
      <c r="AL232" s="125"/>
    </row>
    <row r="233" ht="15.75" customHeight="1">
      <c r="A233" s="125"/>
      <c r="B233" s="125"/>
      <c r="C233" s="125"/>
      <c r="D233" s="125"/>
      <c r="E233" s="125"/>
      <c r="F233" s="125"/>
      <c r="G233" s="125"/>
      <c r="H233" s="125"/>
      <c r="I233" s="125"/>
      <c r="J233" s="125"/>
      <c r="K233" s="125"/>
      <c r="L233" s="125"/>
      <c r="M233" s="125"/>
      <c r="N233" s="125"/>
      <c r="O233" s="125"/>
      <c r="P233" s="125"/>
      <c r="Q233" s="125"/>
      <c r="R233" s="125"/>
      <c r="S233" s="125"/>
      <c r="T233" s="125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87"/>
      <c r="AF233" s="125"/>
      <c r="AG233" s="125"/>
      <c r="AH233" s="125"/>
      <c r="AI233" s="125"/>
      <c r="AJ233" s="125"/>
      <c r="AK233" s="125"/>
      <c r="AL233" s="125"/>
    </row>
    <row r="234" ht="15.75" customHeight="1">
      <c r="A234" s="125"/>
      <c r="B234" s="125"/>
      <c r="C234" s="125"/>
      <c r="D234" s="125"/>
      <c r="E234" s="125"/>
      <c r="F234" s="125"/>
      <c r="G234" s="125"/>
      <c r="H234" s="125"/>
      <c r="I234" s="125"/>
      <c r="J234" s="125"/>
      <c r="K234" s="125"/>
      <c r="L234" s="125"/>
      <c r="M234" s="125"/>
      <c r="N234" s="125"/>
      <c r="O234" s="125"/>
      <c r="P234" s="125"/>
      <c r="Q234" s="125"/>
      <c r="R234" s="125"/>
      <c r="S234" s="125"/>
      <c r="T234" s="125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87"/>
      <c r="AF234" s="125"/>
      <c r="AG234" s="125"/>
      <c r="AH234" s="125"/>
      <c r="AI234" s="125"/>
      <c r="AJ234" s="125"/>
      <c r="AK234" s="125"/>
      <c r="AL234" s="125"/>
    </row>
    <row r="235" ht="15.75" customHeight="1">
      <c r="A235" s="125"/>
      <c r="B235" s="125"/>
      <c r="C235" s="125"/>
      <c r="D235" s="125"/>
      <c r="E235" s="125"/>
      <c r="F235" s="125"/>
      <c r="G235" s="125"/>
      <c r="H235" s="125"/>
      <c r="I235" s="125"/>
      <c r="J235" s="125"/>
      <c r="K235" s="125"/>
      <c r="L235" s="125"/>
      <c r="M235" s="125"/>
      <c r="N235" s="125"/>
      <c r="O235" s="125"/>
      <c r="P235" s="125"/>
      <c r="Q235" s="125"/>
      <c r="R235" s="125"/>
      <c r="S235" s="125"/>
      <c r="T235" s="125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87"/>
      <c r="AF235" s="125"/>
      <c r="AG235" s="125"/>
      <c r="AH235" s="125"/>
      <c r="AI235" s="125"/>
      <c r="AJ235" s="125"/>
      <c r="AK235" s="125"/>
      <c r="AL235" s="125"/>
    </row>
    <row r="236" ht="15.75" customHeight="1">
      <c r="A236" s="125"/>
      <c r="B236" s="125"/>
      <c r="C236" s="125"/>
      <c r="D236" s="125"/>
      <c r="E236" s="125"/>
      <c r="F236" s="125"/>
      <c r="G236" s="125"/>
      <c r="H236" s="125"/>
      <c r="I236" s="125"/>
      <c r="J236" s="125"/>
      <c r="K236" s="125"/>
      <c r="L236" s="125"/>
      <c r="M236" s="125"/>
      <c r="N236" s="125"/>
      <c r="O236" s="125"/>
      <c r="P236" s="125"/>
      <c r="Q236" s="125"/>
      <c r="R236" s="125"/>
      <c r="S236" s="125"/>
      <c r="T236" s="125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87"/>
      <c r="AF236" s="125"/>
      <c r="AG236" s="125"/>
      <c r="AH236" s="125"/>
      <c r="AI236" s="125"/>
      <c r="AJ236" s="125"/>
      <c r="AK236" s="125"/>
      <c r="AL236" s="125"/>
    </row>
    <row r="237" ht="15.75" customHeight="1">
      <c r="A237" s="125"/>
      <c r="B237" s="125"/>
      <c r="C237" s="125"/>
      <c r="D237" s="125"/>
      <c r="E237" s="125"/>
      <c r="F237" s="125"/>
      <c r="G237" s="125"/>
      <c r="H237" s="125"/>
      <c r="I237" s="125"/>
      <c r="J237" s="125"/>
      <c r="K237" s="125"/>
      <c r="L237" s="125"/>
      <c r="M237" s="125"/>
      <c r="N237" s="125"/>
      <c r="O237" s="125"/>
      <c r="P237" s="125"/>
      <c r="Q237" s="125"/>
      <c r="R237" s="125"/>
      <c r="S237" s="125"/>
      <c r="T237" s="125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87"/>
      <c r="AF237" s="125"/>
      <c r="AG237" s="125"/>
      <c r="AH237" s="125"/>
      <c r="AI237" s="125"/>
      <c r="AJ237" s="125"/>
      <c r="AK237" s="125"/>
      <c r="AL237" s="125"/>
    </row>
    <row r="238" ht="15.75" customHeight="1">
      <c r="A238" s="125"/>
      <c r="B238" s="125"/>
      <c r="C238" s="125"/>
      <c r="D238" s="125"/>
      <c r="E238" s="125"/>
      <c r="F238" s="125"/>
      <c r="G238" s="125"/>
      <c r="H238" s="125"/>
      <c r="I238" s="125"/>
      <c r="J238" s="125"/>
      <c r="K238" s="125"/>
      <c r="L238" s="125"/>
      <c r="M238" s="125"/>
      <c r="N238" s="125"/>
      <c r="O238" s="125"/>
      <c r="P238" s="125"/>
      <c r="Q238" s="125"/>
      <c r="R238" s="125"/>
      <c r="S238" s="125"/>
      <c r="T238" s="125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87"/>
      <c r="AF238" s="125"/>
      <c r="AG238" s="125"/>
      <c r="AH238" s="125"/>
      <c r="AI238" s="125"/>
      <c r="AJ238" s="125"/>
      <c r="AK238" s="125"/>
      <c r="AL238" s="125"/>
    </row>
    <row r="239" ht="15.75" customHeight="1">
      <c r="A239" s="125"/>
      <c r="B239" s="125"/>
      <c r="C239" s="125"/>
      <c r="D239" s="125"/>
      <c r="E239" s="125"/>
      <c r="F239" s="125"/>
      <c r="G239" s="125"/>
      <c r="H239" s="125"/>
      <c r="I239" s="125"/>
      <c r="J239" s="125"/>
      <c r="K239" s="125"/>
      <c r="L239" s="125"/>
      <c r="M239" s="125"/>
      <c r="N239" s="125"/>
      <c r="O239" s="125"/>
      <c r="P239" s="125"/>
      <c r="Q239" s="125"/>
      <c r="R239" s="125"/>
      <c r="S239" s="125"/>
      <c r="T239" s="125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87"/>
      <c r="AF239" s="125"/>
      <c r="AG239" s="125"/>
      <c r="AH239" s="125"/>
      <c r="AI239" s="125"/>
      <c r="AJ239" s="125"/>
      <c r="AK239" s="125"/>
      <c r="AL239" s="125"/>
    </row>
    <row r="240" ht="15.75" customHeight="1">
      <c r="A240" s="125"/>
      <c r="B240" s="125"/>
      <c r="C240" s="125"/>
      <c r="D240" s="125"/>
      <c r="E240" s="125"/>
      <c r="F240" s="125"/>
      <c r="G240" s="125"/>
      <c r="H240" s="125"/>
      <c r="I240" s="125"/>
      <c r="J240" s="125"/>
      <c r="K240" s="125"/>
      <c r="L240" s="125"/>
      <c r="M240" s="125"/>
      <c r="N240" s="125"/>
      <c r="O240" s="125"/>
      <c r="P240" s="125"/>
      <c r="Q240" s="125"/>
      <c r="R240" s="125"/>
      <c r="S240" s="125"/>
      <c r="T240" s="125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87"/>
      <c r="AF240" s="125"/>
      <c r="AG240" s="125"/>
      <c r="AH240" s="125"/>
      <c r="AI240" s="125"/>
      <c r="AJ240" s="125"/>
      <c r="AK240" s="125"/>
      <c r="AL240" s="125"/>
    </row>
    <row r="241" ht="15.75" customHeight="1">
      <c r="A241" s="125"/>
      <c r="B241" s="125"/>
      <c r="C241" s="125"/>
      <c r="D241" s="125"/>
      <c r="E241" s="125"/>
      <c r="F241" s="125"/>
      <c r="G241" s="125"/>
      <c r="H241" s="125"/>
      <c r="I241" s="125"/>
      <c r="J241" s="125"/>
      <c r="K241" s="125"/>
      <c r="L241" s="125"/>
      <c r="M241" s="125"/>
      <c r="N241" s="125"/>
      <c r="O241" s="125"/>
      <c r="P241" s="125"/>
      <c r="Q241" s="125"/>
      <c r="R241" s="125"/>
      <c r="S241" s="125"/>
      <c r="T241" s="125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  <c r="AE241" s="187"/>
      <c r="AF241" s="125"/>
      <c r="AG241" s="125"/>
      <c r="AH241" s="125"/>
      <c r="AI241" s="125"/>
      <c r="AJ241" s="125"/>
      <c r="AK241" s="125"/>
      <c r="AL241" s="125"/>
    </row>
    <row r="242" ht="15.75" customHeight="1">
      <c r="A242" s="125"/>
      <c r="B242" s="125"/>
      <c r="C242" s="125"/>
      <c r="D242" s="125"/>
      <c r="E242" s="125"/>
      <c r="F242" s="125"/>
      <c r="G242" s="125"/>
      <c r="H242" s="125"/>
      <c r="I242" s="125"/>
      <c r="J242" s="125"/>
      <c r="K242" s="125"/>
      <c r="L242" s="125"/>
      <c r="M242" s="125"/>
      <c r="N242" s="125"/>
      <c r="O242" s="125"/>
      <c r="P242" s="125"/>
      <c r="Q242" s="125"/>
      <c r="R242" s="125"/>
      <c r="S242" s="125"/>
      <c r="T242" s="125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87"/>
      <c r="AF242" s="125"/>
      <c r="AG242" s="125"/>
      <c r="AH242" s="125"/>
      <c r="AI242" s="125"/>
      <c r="AJ242" s="125"/>
      <c r="AK242" s="125"/>
      <c r="AL242" s="125"/>
    </row>
    <row r="243" ht="15.75" customHeight="1">
      <c r="A243" s="125"/>
      <c r="B243" s="125"/>
      <c r="C243" s="125"/>
      <c r="D243" s="125"/>
      <c r="E243" s="125"/>
      <c r="F243" s="125"/>
      <c r="G243" s="125"/>
      <c r="H243" s="125"/>
      <c r="I243" s="125"/>
      <c r="J243" s="125"/>
      <c r="K243" s="125"/>
      <c r="L243" s="125"/>
      <c r="M243" s="125"/>
      <c r="N243" s="125"/>
      <c r="O243" s="125"/>
      <c r="P243" s="125"/>
      <c r="Q243" s="125"/>
      <c r="R243" s="125"/>
      <c r="S243" s="125"/>
      <c r="T243" s="125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87"/>
      <c r="AF243" s="125"/>
      <c r="AG243" s="125"/>
      <c r="AH243" s="125"/>
      <c r="AI243" s="125"/>
      <c r="AJ243" s="125"/>
      <c r="AK243" s="125"/>
      <c r="AL243" s="125"/>
    </row>
    <row r="244" ht="15.75" customHeight="1">
      <c r="A244" s="125"/>
      <c r="B244" s="125"/>
      <c r="C244" s="125"/>
      <c r="D244" s="125"/>
      <c r="E244" s="125"/>
      <c r="F244" s="125"/>
      <c r="G244" s="125"/>
      <c r="H244" s="125"/>
      <c r="I244" s="125"/>
      <c r="J244" s="125"/>
      <c r="K244" s="125"/>
      <c r="L244" s="125"/>
      <c r="M244" s="125"/>
      <c r="N244" s="125"/>
      <c r="O244" s="125"/>
      <c r="P244" s="125"/>
      <c r="Q244" s="125"/>
      <c r="R244" s="125"/>
      <c r="S244" s="125"/>
      <c r="T244" s="125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  <c r="AE244" s="187"/>
      <c r="AF244" s="125"/>
      <c r="AG244" s="125"/>
      <c r="AH244" s="125"/>
      <c r="AI244" s="125"/>
      <c r="AJ244" s="125"/>
      <c r="AK244" s="125"/>
      <c r="AL244" s="125"/>
    </row>
    <row r="245" ht="15.75" customHeight="1">
      <c r="A245" s="125"/>
      <c r="B245" s="125"/>
      <c r="C245" s="125"/>
      <c r="D245" s="125"/>
      <c r="E245" s="125"/>
      <c r="F245" s="125"/>
      <c r="G245" s="125"/>
      <c r="H245" s="125"/>
      <c r="I245" s="125"/>
      <c r="J245" s="125"/>
      <c r="K245" s="125"/>
      <c r="L245" s="125"/>
      <c r="M245" s="125"/>
      <c r="N245" s="125"/>
      <c r="O245" s="125"/>
      <c r="P245" s="125"/>
      <c r="Q245" s="125"/>
      <c r="R245" s="125"/>
      <c r="S245" s="125"/>
      <c r="T245" s="125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  <c r="AE245" s="187"/>
      <c r="AF245" s="125"/>
      <c r="AG245" s="125"/>
      <c r="AH245" s="125"/>
      <c r="AI245" s="125"/>
      <c r="AJ245" s="125"/>
      <c r="AK245" s="125"/>
      <c r="AL245" s="125"/>
    </row>
    <row r="246" ht="15.75" customHeight="1">
      <c r="A246" s="125"/>
      <c r="B246" s="125"/>
      <c r="C246" s="125"/>
      <c r="D246" s="125"/>
      <c r="E246" s="125"/>
      <c r="F246" s="125"/>
      <c r="G246" s="125"/>
      <c r="H246" s="125"/>
      <c r="I246" s="125"/>
      <c r="J246" s="125"/>
      <c r="K246" s="125"/>
      <c r="L246" s="125"/>
      <c r="M246" s="125"/>
      <c r="N246" s="125"/>
      <c r="O246" s="125"/>
      <c r="P246" s="125"/>
      <c r="Q246" s="125"/>
      <c r="R246" s="125"/>
      <c r="S246" s="125"/>
      <c r="T246" s="125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87"/>
      <c r="AF246" s="125"/>
      <c r="AG246" s="125"/>
      <c r="AH246" s="125"/>
      <c r="AI246" s="125"/>
      <c r="AJ246" s="125"/>
      <c r="AK246" s="125"/>
      <c r="AL246" s="125"/>
    </row>
    <row r="247" ht="15.75" customHeight="1">
      <c r="A247" s="125"/>
      <c r="B247" s="125"/>
      <c r="C247" s="125"/>
      <c r="D247" s="125"/>
      <c r="E247" s="125"/>
      <c r="F247" s="125"/>
      <c r="G247" s="125"/>
      <c r="H247" s="125"/>
      <c r="I247" s="125"/>
      <c r="J247" s="125"/>
      <c r="K247" s="125"/>
      <c r="L247" s="125"/>
      <c r="M247" s="125"/>
      <c r="N247" s="125"/>
      <c r="O247" s="125"/>
      <c r="P247" s="125"/>
      <c r="Q247" s="125"/>
      <c r="R247" s="125"/>
      <c r="S247" s="125"/>
      <c r="T247" s="125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87"/>
      <c r="AF247" s="125"/>
      <c r="AG247" s="125"/>
      <c r="AH247" s="125"/>
      <c r="AI247" s="125"/>
      <c r="AJ247" s="125"/>
      <c r="AK247" s="125"/>
      <c r="AL247" s="125"/>
    </row>
    <row r="248" ht="15.75" customHeight="1">
      <c r="A248" s="125"/>
      <c r="B248" s="125"/>
      <c r="C248" s="125"/>
      <c r="D248" s="125"/>
      <c r="E248" s="125"/>
      <c r="F248" s="125"/>
      <c r="G248" s="125"/>
      <c r="H248" s="125"/>
      <c r="I248" s="125"/>
      <c r="J248" s="125"/>
      <c r="K248" s="125"/>
      <c r="L248" s="125"/>
      <c r="M248" s="125"/>
      <c r="N248" s="125"/>
      <c r="O248" s="125"/>
      <c r="P248" s="125"/>
      <c r="Q248" s="125"/>
      <c r="R248" s="125"/>
      <c r="S248" s="125"/>
      <c r="T248" s="125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87"/>
      <c r="AF248" s="125"/>
      <c r="AG248" s="125"/>
      <c r="AH248" s="125"/>
      <c r="AI248" s="125"/>
      <c r="AJ248" s="125"/>
      <c r="AK248" s="125"/>
      <c r="AL248" s="125"/>
    </row>
    <row r="249" ht="15.75" customHeight="1">
      <c r="A249" s="125"/>
      <c r="B249" s="125"/>
      <c r="C249" s="125"/>
      <c r="D249" s="125"/>
      <c r="E249" s="125"/>
      <c r="F249" s="125"/>
      <c r="G249" s="125"/>
      <c r="H249" s="125"/>
      <c r="I249" s="125"/>
      <c r="J249" s="125"/>
      <c r="K249" s="125"/>
      <c r="L249" s="125"/>
      <c r="M249" s="125"/>
      <c r="N249" s="125"/>
      <c r="O249" s="125"/>
      <c r="P249" s="125"/>
      <c r="Q249" s="125"/>
      <c r="R249" s="125"/>
      <c r="S249" s="125"/>
      <c r="T249" s="125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87"/>
      <c r="AF249" s="125"/>
      <c r="AG249" s="125"/>
      <c r="AH249" s="125"/>
      <c r="AI249" s="125"/>
      <c r="AJ249" s="125"/>
      <c r="AK249" s="125"/>
      <c r="AL249" s="125"/>
    </row>
    <row r="250" ht="15.75" customHeight="1">
      <c r="A250" s="125"/>
      <c r="B250" s="125"/>
      <c r="C250" s="125"/>
      <c r="D250" s="125"/>
      <c r="E250" s="125"/>
      <c r="F250" s="125"/>
      <c r="G250" s="125"/>
      <c r="H250" s="125"/>
      <c r="I250" s="125"/>
      <c r="J250" s="125"/>
      <c r="K250" s="125"/>
      <c r="L250" s="125"/>
      <c r="M250" s="125"/>
      <c r="N250" s="125"/>
      <c r="O250" s="125"/>
      <c r="P250" s="125"/>
      <c r="Q250" s="125"/>
      <c r="R250" s="125"/>
      <c r="S250" s="125"/>
      <c r="T250" s="125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87"/>
      <c r="AF250" s="125"/>
      <c r="AG250" s="125"/>
      <c r="AH250" s="125"/>
      <c r="AI250" s="125"/>
      <c r="AJ250" s="125"/>
      <c r="AK250" s="125"/>
      <c r="AL250" s="125"/>
    </row>
    <row r="251" ht="15.75" customHeight="1">
      <c r="A251" s="125"/>
      <c r="B251" s="125"/>
      <c r="C251" s="125"/>
      <c r="D251" s="125"/>
      <c r="E251" s="125"/>
      <c r="F251" s="125"/>
      <c r="G251" s="125"/>
      <c r="H251" s="125"/>
      <c r="I251" s="125"/>
      <c r="J251" s="125"/>
      <c r="K251" s="125"/>
      <c r="L251" s="125"/>
      <c r="M251" s="125"/>
      <c r="N251" s="125"/>
      <c r="O251" s="125"/>
      <c r="P251" s="125"/>
      <c r="Q251" s="125"/>
      <c r="R251" s="125"/>
      <c r="S251" s="125"/>
      <c r="T251" s="125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  <c r="AE251" s="187"/>
      <c r="AF251" s="125"/>
      <c r="AG251" s="125"/>
      <c r="AH251" s="125"/>
      <c r="AI251" s="125"/>
      <c r="AJ251" s="125"/>
      <c r="AK251" s="125"/>
      <c r="AL251" s="125"/>
    </row>
    <row r="252" ht="15.75" customHeight="1">
      <c r="A252" s="125"/>
      <c r="B252" s="125"/>
      <c r="C252" s="125"/>
      <c r="D252" s="125"/>
      <c r="E252" s="125"/>
      <c r="F252" s="125"/>
      <c r="G252" s="125"/>
      <c r="H252" s="125"/>
      <c r="I252" s="125"/>
      <c r="J252" s="125"/>
      <c r="K252" s="125"/>
      <c r="L252" s="125"/>
      <c r="M252" s="125"/>
      <c r="N252" s="125"/>
      <c r="O252" s="125"/>
      <c r="P252" s="125"/>
      <c r="Q252" s="125"/>
      <c r="R252" s="125"/>
      <c r="S252" s="125"/>
      <c r="T252" s="125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87"/>
      <c r="AF252" s="125"/>
      <c r="AG252" s="125"/>
      <c r="AH252" s="125"/>
      <c r="AI252" s="125"/>
      <c r="AJ252" s="125"/>
      <c r="AK252" s="125"/>
      <c r="AL252" s="125"/>
    </row>
    <row r="253" ht="15.75" customHeight="1">
      <c r="A253" s="125"/>
      <c r="B253" s="125"/>
      <c r="C253" s="125"/>
      <c r="D253" s="125"/>
      <c r="E253" s="125"/>
      <c r="F253" s="125"/>
      <c r="G253" s="125"/>
      <c r="H253" s="125"/>
      <c r="I253" s="125"/>
      <c r="J253" s="125"/>
      <c r="K253" s="125"/>
      <c r="L253" s="125"/>
      <c r="M253" s="125"/>
      <c r="N253" s="125"/>
      <c r="O253" s="125"/>
      <c r="P253" s="125"/>
      <c r="Q253" s="125"/>
      <c r="R253" s="125"/>
      <c r="S253" s="125"/>
      <c r="T253" s="125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87"/>
      <c r="AF253" s="125"/>
      <c r="AG253" s="125"/>
      <c r="AH253" s="125"/>
      <c r="AI253" s="125"/>
      <c r="AJ253" s="125"/>
      <c r="AK253" s="125"/>
      <c r="AL253" s="125"/>
    </row>
    <row r="254" ht="15.75" customHeight="1">
      <c r="A254" s="125"/>
      <c r="B254" s="125"/>
      <c r="C254" s="125"/>
      <c r="D254" s="125"/>
      <c r="E254" s="125"/>
      <c r="F254" s="125"/>
      <c r="G254" s="125"/>
      <c r="H254" s="125"/>
      <c r="I254" s="125"/>
      <c r="J254" s="125"/>
      <c r="K254" s="125"/>
      <c r="L254" s="125"/>
      <c r="M254" s="125"/>
      <c r="N254" s="125"/>
      <c r="O254" s="125"/>
      <c r="P254" s="125"/>
      <c r="Q254" s="125"/>
      <c r="R254" s="125"/>
      <c r="S254" s="125"/>
      <c r="T254" s="125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87"/>
      <c r="AF254" s="125"/>
      <c r="AG254" s="125"/>
      <c r="AH254" s="125"/>
      <c r="AI254" s="125"/>
      <c r="AJ254" s="125"/>
      <c r="AK254" s="125"/>
      <c r="AL254" s="125"/>
    </row>
    <row r="255" ht="15.75" customHeight="1">
      <c r="A255" s="125"/>
      <c r="B255" s="125"/>
      <c r="C255" s="125"/>
      <c r="D255" s="125"/>
      <c r="E255" s="125"/>
      <c r="F255" s="125"/>
      <c r="G255" s="125"/>
      <c r="H255" s="125"/>
      <c r="I255" s="125"/>
      <c r="J255" s="125"/>
      <c r="K255" s="125"/>
      <c r="L255" s="125"/>
      <c r="M255" s="125"/>
      <c r="N255" s="125"/>
      <c r="O255" s="125"/>
      <c r="P255" s="125"/>
      <c r="Q255" s="125"/>
      <c r="R255" s="125"/>
      <c r="S255" s="125"/>
      <c r="T255" s="125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87"/>
      <c r="AF255" s="125"/>
      <c r="AG255" s="125"/>
      <c r="AH255" s="125"/>
      <c r="AI255" s="125"/>
      <c r="AJ255" s="125"/>
      <c r="AK255" s="125"/>
      <c r="AL255" s="125"/>
    </row>
    <row r="256" ht="15.75" customHeight="1">
      <c r="A256" s="125"/>
      <c r="B256" s="125"/>
      <c r="C256" s="125"/>
      <c r="D256" s="125"/>
      <c r="E256" s="125"/>
      <c r="F256" s="125"/>
      <c r="G256" s="125"/>
      <c r="H256" s="125"/>
      <c r="I256" s="125"/>
      <c r="J256" s="125"/>
      <c r="K256" s="125"/>
      <c r="L256" s="125"/>
      <c r="M256" s="125"/>
      <c r="N256" s="125"/>
      <c r="O256" s="125"/>
      <c r="P256" s="125"/>
      <c r="Q256" s="125"/>
      <c r="R256" s="125"/>
      <c r="S256" s="125"/>
      <c r="T256" s="125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87"/>
      <c r="AF256" s="125"/>
      <c r="AG256" s="125"/>
      <c r="AH256" s="125"/>
      <c r="AI256" s="125"/>
      <c r="AJ256" s="125"/>
      <c r="AK256" s="125"/>
      <c r="AL256" s="125"/>
    </row>
    <row r="257" ht="15.75" customHeight="1">
      <c r="A257" s="125"/>
      <c r="B257" s="125"/>
      <c r="C257" s="125"/>
      <c r="D257" s="125"/>
      <c r="E257" s="125"/>
      <c r="F257" s="125"/>
      <c r="G257" s="125"/>
      <c r="H257" s="125"/>
      <c r="I257" s="125"/>
      <c r="J257" s="125"/>
      <c r="K257" s="125"/>
      <c r="L257" s="125"/>
      <c r="M257" s="125"/>
      <c r="N257" s="125"/>
      <c r="O257" s="125"/>
      <c r="P257" s="125"/>
      <c r="Q257" s="125"/>
      <c r="R257" s="125"/>
      <c r="S257" s="125"/>
      <c r="T257" s="125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87"/>
      <c r="AF257" s="125"/>
      <c r="AG257" s="125"/>
      <c r="AH257" s="125"/>
      <c r="AI257" s="125"/>
      <c r="AJ257" s="125"/>
      <c r="AK257" s="125"/>
      <c r="AL257" s="125"/>
    </row>
    <row r="258" ht="15.75" customHeight="1">
      <c r="A258" s="125"/>
      <c r="B258" s="125"/>
      <c r="C258" s="125"/>
      <c r="D258" s="125"/>
      <c r="E258" s="125"/>
      <c r="F258" s="125"/>
      <c r="G258" s="125"/>
      <c r="H258" s="125"/>
      <c r="I258" s="125"/>
      <c r="J258" s="125"/>
      <c r="K258" s="125"/>
      <c r="L258" s="125"/>
      <c r="M258" s="125"/>
      <c r="N258" s="125"/>
      <c r="O258" s="125"/>
      <c r="P258" s="125"/>
      <c r="Q258" s="125"/>
      <c r="R258" s="125"/>
      <c r="S258" s="125"/>
      <c r="T258" s="125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87"/>
      <c r="AF258" s="125"/>
      <c r="AG258" s="125"/>
      <c r="AH258" s="125"/>
      <c r="AI258" s="125"/>
      <c r="AJ258" s="125"/>
      <c r="AK258" s="125"/>
      <c r="AL258" s="125"/>
    </row>
    <row r="259" ht="15.75" customHeight="1">
      <c r="A259" s="125"/>
      <c r="B259" s="125"/>
      <c r="C259" s="125"/>
      <c r="D259" s="125"/>
      <c r="E259" s="125"/>
      <c r="F259" s="125"/>
      <c r="G259" s="125"/>
      <c r="H259" s="125"/>
      <c r="I259" s="125"/>
      <c r="J259" s="125"/>
      <c r="K259" s="125"/>
      <c r="L259" s="125"/>
      <c r="M259" s="125"/>
      <c r="N259" s="125"/>
      <c r="O259" s="125"/>
      <c r="P259" s="125"/>
      <c r="Q259" s="125"/>
      <c r="R259" s="125"/>
      <c r="S259" s="125"/>
      <c r="T259" s="125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87"/>
      <c r="AF259" s="125"/>
      <c r="AG259" s="125"/>
      <c r="AH259" s="125"/>
      <c r="AI259" s="125"/>
      <c r="AJ259" s="125"/>
      <c r="AK259" s="125"/>
      <c r="AL259" s="125"/>
    </row>
    <row r="260" ht="15.75" customHeight="1">
      <c r="A260" s="125"/>
      <c r="B260" s="125"/>
      <c r="C260" s="125"/>
      <c r="D260" s="125"/>
      <c r="E260" s="125"/>
      <c r="F260" s="125"/>
      <c r="G260" s="125"/>
      <c r="H260" s="125"/>
      <c r="I260" s="125"/>
      <c r="J260" s="125"/>
      <c r="K260" s="125"/>
      <c r="L260" s="125"/>
      <c r="M260" s="125"/>
      <c r="N260" s="125"/>
      <c r="O260" s="125"/>
      <c r="P260" s="125"/>
      <c r="Q260" s="125"/>
      <c r="R260" s="125"/>
      <c r="S260" s="125"/>
      <c r="T260" s="125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87"/>
      <c r="AF260" s="125"/>
      <c r="AG260" s="125"/>
      <c r="AH260" s="125"/>
      <c r="AI260" s="125"/>
      <c r="AJ260" s="125"/>
      <c r="AK260" s="125"/>
      <c r="AL260" s="125"/>
    </row>
    <row r="261" ht="15.75" customHeight="1">
      <c r="A261" s="125"/>
      <c r="B261" s="125"/>
      <c r="C261" s="125"/>
      <c r="D261" s="125"/>
      <c r="E261" s="125"/>
      <c r="F261" s="125"/>
      <c r="G261" s="125"/>
      <c r="H261" s="125"/>
      <c r="I261" s="125"/>
      <c r="J261" s="125"/>
      <c r="K261" s="125"/>
      <c r="L261" s="125"/>
      <c r="M261" s="125"/>
      <c r="N261" s="125"/>
      <c r="O261" s="125"/>
      <c r="P261" s="125"/>
      <c r="Q261" s="125"/>
      <c r="R261" s="125"/>
      <c r="S261" s="125"/>
      <c r="T261" s="125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87"/>
      <c r="AF261" s="125"/>
      <c r="AG261" s="125"/>
      <c r="AH261" s="125"/>
      <c r="AI261" s="125"/>
      <c r="AJ261" s="125"/>
      <c r="AK261" s="125"/>
      <c r="AL261" s="125"/>
    </row>
    <row r="262" ht="15.75" customHeight="1">
      <c r="A262" s="125"/>
      <c r="B262" s="125"/>
      <c r="C262" s="125"/>
      <c r="D262" s="125"/>
      <c r="E262" s="125"/>
      <c r="F262" s="125"/>
      <c r="G262" s="125"/>
      <c r="H262" s="125"/>
      <c r="I262" s="125"/>
      <c r="J262" s="125"/>
      <c r="K262" s="125"/>
      <c r="L262" s="125"/>
      <c r="M262" s="125"/>
      <c r="N262" s="125"/>
      <c r="O262" s="125"/>
      <c r="P262" s="125"/>
      <c r="Q262" s="125"/>
      <c r="R262" s="125"/>
      <c r="S262" s="125"/>
      <c r="T262" s="125"/>
      <c r="U262" s="125"/>
      <c r="V262" s="125"/>
      <c r="W262" s="125"/>
      <c r="X262" s="125"/>
      <c r="Y262" s="125"/>
      <c r="Z262" s="125"/>
      <c r="AA262" s="125"/>
      <c r="AB262" s="125"/>
      <c r="AC262" s="125"/>
      <c r="AD262" s="125"/>
      <c r="AE262" s="187"/>
      <c r="AF262" s="125"/>
      <c r="AG262" s="125"/>
      <c r="AH262" s="125"/>
      <c r="AI262" s="125"/>
      <c r="AJ262" s="125"/>
      <c r="AK262" s="125"/>
      <c r="AL262" s="125"/>
    </row>
    <row r="263" ht="15.75" customHeight="1">
      <c r="A263" s="125"/>
      <c r="B263" s="125"/>
      <c r="C263" s="125"/>
      <c r="D263" s="125"/>
      <c r="E263" s="125"/>
      <c r="F263" s="125"/>
      <c r="G263" s="125"/>
      <c r="H263" s="125"/>
      <c r="I263" s="125"/>
      <c r="J263" s="125"/>
      <c r="K263" s="125"/>
      <c r="L263" s="125"/>
      <c r="M263" s="125"/>
      <c r="N263" s="125"/>
      <c r="O263" s="125"/>
      <c r="P263" s="125"/>
      <c r="Q263" s="125"/>
      <c r="R263" s="125"/>
      <c r="S263" s="125"/>
      <c r="T263" s="125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87"/>
      <c r="AF263" s="125"/>
      <c r="AG263" s="125"/>
      <c r="AH263" s="125"/>
      <c r="AI263" s="125"/>
      <c r="AJ263" s="125"/>
      <c r="AK263" s="125"/>
      <c r="AL263" s="125"/>
    </row>
    <row r="264" ht="15.75" customHeight="1">
      <c r="A264" s="125"/>
      <c r="B264" s="125"/>
      <c r="C264" s="125"/>
      <c r="D264" s="125"/>
      <c r="E264" s="125"/>
      <c r="F264" s="125"/>
      <c r="G264" s="125"/>
      <c r="H264" s="125"/>
      <c r="I264" s="125"/>
      <c r="J264" s="125"/>
      <c r="K264" s="125"/>
      <c r="L264" s="125"/>
      <c r="M264" s="125"/>
      <c r="N264" s="125"/>
      <c r="O264" s="125"/>
      <c r="P264" s="125"/>
      <c r="Q264" s="125"/>
      <c r="R264" s="125"/>
      <c r="S264" s="125"/>
      <c r="T264" s="125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  <c r="AE264" s="187"/>
      <c r="AF264" s="125"/>
      <c r="AG264" s="125"/>
      <c r="AH264" s="125"/>
      <c r="AI264" s="125"/>
      <c r="AJ264" s="125"/>
      <c r="AK264" s="125"/>
      <c r="AL264" s="125"/>
    </row>
    <row r="265" ht="15.75" customHeight="1">
      <c r="A265" s="125"/>
      <c r="B265" s="125"/>
      <c r="C265" s="125"/>
      <c r="D265" s="125"/>
      <c r="E265" s="125"/>
      <c r="F265" s="125"/>
      <c r="G265" s="125"/>
      <c r="H265" s="125"/>
      <c r="I265" s="125"/>
      <c r="J265" s="125"/>
      <c r="K265" s="125"/>
      <c r="L265" s="125"/>
      <c r="M265" s="125"/>
      <c r="N265" s="125"/>
      <c r="O265" s="125"/>
      <c r="P265" s="125"/>
      <c r="Q265" s="125"/>
      <c r="R265" s="125"/>
      <c r="S265" s="125"/>
      <c r="T265" s="125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87"/>
      <c r="AF265" s="125"/>
      <c r="AG265" s="125"/>
      <c r="AH265" s="125"/>
      <c r="AI265" s="125"/>
      <c r="AJ265" s="125"/>
      <c r="AK265" s="125"/>
      <c r="AL265" s="125"/>
    </row>
    <row r="266" ht="15.75" customHeight="1">
      <c r="A266" s="125"/>
      <c r="B266" s="125"/>
      <c r="C266" s="125"/>
      <c r="D266" s="125"/>
      <c r="E266" s="125"/>
      <c r="F266" s="125"/>
      <c r="G266" s="125"/>
      <c r="H266" s="125"/>
      <c r="I266" s="125"/>
      <c r="J266" s="125"/>
      <c r="K266" s="125"/>
      <c r="L266" s="125"/>
      <c r="M266" s="125"/>
      <c r="N266" s="125"/>
      <c r="O266" s="125"/>
      <c r="P266" s="125"/>
      <c r="Q266" s="125"/>
      <c r="R266" s="125"/>
      <c r="S266" s="125"/>
      <c r="T266" s="125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87"/>
      <c r="AF266" s="125"/>
      <c r="AG266" s="125"/>
      <c r="AH266" s="125"/>
      <c r="AI266" s="125"/>
      <c r="AJ266" s="125"/>
      <c r="AK266" s="125"/>
      <c r="AL266" s="125"/>
    </row>
    <row r="267" ht="15.75" customHeight="1">
      <c r="A267" s="125"/>
      <c r="B267" s="125"/>
      <c r="C267" s="125"/>
      <c r="D267" s="125"/>
      <c r="E267" s="125"/>
      <c r="F267" s="125"/>
      <c r="G267" s="125"/>
      <c r="H267" s="125"/>
      <c r="I267" s="125"/>
      <c r="J267" s="125"/>
      <c r="K267" s="125"/>
      <c r="L267" s="125"/>
      <c r="M267" s="125"/>
      <c r="N267" s="125"/>
      <c r="O267" s="125"/>
      <c r="P267" s="125"/>
      <c r="Q267" s="125"/>
      <c r="R267" s="125"/>
      <c r="S267" s="125"/>
      <c r="T267" s="125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87"/>
      <c r="AF267" s="125"/>
      <c r="AG267" s="125"/>
      <c r="AH267" s="125"/>
      <c r="AI267" s="125"/>
      <c r="AJ267" s="125"/>
      <c r="AK267" s="125"/>
      <c r="AL267" s="125"/>
    </row>
    <row r="268" ht="15.75" customHeight="1">
      <c r="A268" s="125"/>
      <c r="B268" s="125"/>
      <c r="C268" s="125"/>
      <c r="D268" s="125"/>
      <c r="E268" s="125"/>
      <c r="F268" s="125"/>
      <c r="G268" s="125"/>
      <c r="H268" s="125"/>
      <c r="I268" s="125"/>
      <c r="J268" s="125"/>
      <c r="K268" s="125"/>
      <c r="L268" s="125"/>
      <c r="M268" s="125"/>
      <c r="N268" s="125"/>
      <c r="O268" s="125"/>
      <c r="P268" s="125"/>
      <c r="Q268" s="125"/>
      <c r="R268" s="125"/>
      <c r="S268" s="125"/>
      <c r="T268" s="125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87"/>
      <c r="AF268" s="125"/>
      <c r="AG268" s="125"/>
      <c r="AH268" s="125"/>
      <c r="AI268" s="125"/>
      <c r="AJ268" s="125"/>
      <c r="AK268" s="125"/>
      <c r="AL268" s="125"/>
    </row>
    <row r="269" ht="15.75" customHeight="1">
      <c r="A269" s="125"/>
      <c r="B269" s="125"/>
      <c r="C269" s="125"/>
      <c r="D269" s="125"/>
      <c r="E269" s="125"/>
      <c r="F269" s="125"/>
      <c r="G269" s="125"/>
      <c r="H269" s="125"/>
      <c r="I269" s="125"/>
      <c r="J269" s="125"/>
      <c r="K269" s="125"/>
      <c r="L269" s="125"/>
      <c r="M269" s="125"/>
      <c r="N269" s="125"/>
      <c r="O269" s="125"/>
      <c r="P269" s="125"/>
      <c r="Q269" s="125"/>
      <c r="R269" s="125"/>
      <c r="S269" s="125"/>
      <c r="T269" s="125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87"/>
      <c r="AF269" s="125"/>
      <c r="AG269" s="125"/>
      <c r="AH269" s="125"/>
      <c r="AI269" s="125"/>
      <c r="AJ269" s="125"/>
      <c r="AK269" s="125"/>
      <c r="AL269" s="125"/>
    </row>
    <row r="270" ht="15.75" customHeight="1">
      <c r="A270" s="125"/>
      <c r="B270" s="125"/>
      <c r="C270" s="125"/>
      <c r="D270" s="125"/>
      <c r="E270" s="125"/>
      <c r="F270" s="125"/>
      <c r="G270" s="125"/>
      <c r="H270" s="125"/>
      <c r="I270" s="125"/>
      <c r="J270" s="125"/>
      <c r="K270" s="125"/>
      <c r="L270" s="125"/>
      <c r="M270" s="125"/>
      <c r="N270" s="125"/>
      <c r="O270" s="125"/>
      <c r="P270" s="125"/>
      <c r="Q270" s="125"/>
      <c r="R270" s="125"/>
      <c r="S270" s="125"/>
      <c r="T270" s="125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87"/>
      <c r="AF270" s="125"/>
      <c r="AG270" s="125"/>
      <c r="AH270" s="125"/>
      <c r="AI270" s="125"/>
      <c r="AJ270" s="125"/>
      <c r="AK270" s="125"/>
      <c r="AL270" s="125"/>
    </row>
    <row r="271" ht="15.75" customHeight="1">
      <c r="A271" s="125"/>
      <c r="B271" s="125"/>
      <c r="C271" s="125"/>
      <c r="D271" s="125"/>
      <c r="E271" s="125"/>
      <c r="F271" s="125"/>
      <c r="G271" s="125"/>
      <c r="H271" s="125"/>
      <c r="I271" s="125"/>
      <c r="J271" s="125"/>
      <c r="K271" s="125"/>
      <c r="L271" s="125"/>
      <c r="M271" s="125"/>
      <c r="N271" s="125"/>
      <c r="O271" s="125"/>
      <c r="P271" s="125"/>
      <c r="Q271" s="125"/>
      <c r="R271" s="125"/>
      <c r="S271" s="125"/>
      <c r="T271" s="125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  <c r="AE271" s="187"/>
      <c r="AF271" s="125"/>
      <c r="AG271" s="125"/>
      <c r="AH271" s="125"/>
      <c r="AI271" s="125"/>
      <c r="AJ271" s="125"/>
      <c r="AK271" s="125"/>
      <c r="AL271" s="125"/>
    </row>
    <row r="272" ht="15.75" customHeight="1">
      <c r="A272" s="125"/>
      <c r="B272" s="125"/>
      <c r="C272" s="125"/>
      <c r="D272" s="125"/>
      <c r="E272" s="125"/>
      <c r="F272" s="125"/>
      <c r="G272" s="125"/>
      <c r="H272" s="125"/>
      <c r="I272" s="125"/>
      <c r="J272" s="125"/>
      <c r="K272" s="125"/>
      <c r="L272" s="125"/>
      <c r="M272" s="125"/>
      <c r="N272" s="125"/>
      <c r="O272" s="125"/>
      <c r="P272" s="125"/>
      <c r="Q272" s="125"/>
      <c r="R272" s="125"/>
      <c r="S272" s="125"/>
      <c r="T272" s="125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87"/>
      <c r="AF272" s="125"/>
      <c r="AG272" s="125"/>
      <c r="AH272" s="125"/>
      <c r="AI272" s="125"/>
      <c r="AJ272" s="125"/>
      <c r="AK272" s="125"/>
      <c r="AL272" s="125"/>
    </row>
    <row r="273" ht="15.75" customHeight="1">
      <c r="A273" s="125"/>
      <c r="B273" s="125"/>
      <c r="C273" s="125"/>
      <c r="D273" s="125"/>
      <c r="E273" s="125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5"/>
      <c r="S273" s="125"/>
      <c r="T273" s="125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87"/>
      <c r="AF273" s="125"/>
      <c r="AG273" s="125"/>
      <c r="AH273" s="125"/>
      <c r="AI273" s="125"/>
      <c r="AJ273" s="125"/>
      <c r="AK273" s="125"/>
      <c r="AL273" s="125"/>
    </row>
    <row r="274" ht="15.75" customHeight="1">
      <c r="A274" s="125"/>
      <c r="B274" s="125"/>
      <c r="C274" s="125"/>
      <c r="D274" s="125"/>
      <c r="E274" s="125"/>
      <c r="F274" s="125"/>
      <c r="G274" s="125"/>
      <c r="H274" s="125"/>
      <c r="I274" s="125"/>
      <c r="J274" s="125"/>
      <c r="K274" s="125"/>
      <c r="L274" s="125"/>
      <c r="M274" s="125"/>
      <c r="N274" s="125"/>
      <c r="O274" s="125"/>
      <c r="P274" s="125"/>
      <c r="Q274" s="125"/>
      <c r="R274" s="125"/>
      <c r="S274" s="125"/>
      <c r="T274" s="125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  <c r="AE274" s="187"/>
      <c r="AF274" s="125"/>
      <c r="AG274" s="125"/>
      <c r="AH274" s="125"/>
      <c r="AI274" s="125"/>
      <c r="AJ274" s="125"/>
      <c r="AK274" s="125"/>
      <c r="AL274" s="125"/>
    </row>
    <row r="275" ht="15.75" customHeight="1">
      <c r="A275" s="125"/>
      <c r="B275" s="125"/>
      <c r="C275" s="125"/>
      <c r="D275" s="125"/>
      <c r="E275" s="125"/>
      <c r="F275" s="125"/>
      <c r="G275" s="125"/>
      <c r="H275" s="125"/>
      <c r="I275" s="125"/>
      <c r="J275" s="125"/>
      <c r="K275" s="125"/>
      <c r="L275" s="125"/>
      <c r="M275" s="125"/>
      <c r="N275" s="125"/>
      <c r="O275" s="125"/>
      <c r="P275" s="125"/>
      <c r="Q275" s="125"/>
      <c r="R275" s="125"/>
      <c r="S275" s="125"/>
      <c r="T275" s="125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87"/>
      <c r="AF275" s="125"/>
      <c r="AG275" s="125"/>
      <c r="AH275" s="125"/>
      <c r="AI275" s="125"/>
      <c r="AJ275" s="125"/>
      <c r="AK275" s="125"/>
      <c r="AL275" s="125"/>
    </row>
    <row r="276" ht="15.75" customHeight="1">
      <c r="A276" s="125"/>
      <c r="B276" s="125"/>
      <c r="C276" s="125"/>
      <c r="D276" s="125"/>
      <c r="E276" s="125"/>
      <c r="F276" s="125"/>
      <c r="G276" s="125"/>
      <c r="H276" s="125"/>
      <c r="I276" s="125"/>
      <c r="J276" s="125"/>
      <c r="K276" s="125"/>
      <c r="L276" s="125"/>
      <c r="M276" s="125"/>
      <c r="N276" s="125"/>
      <c r="O276" s="125"/>
      <c r="P276" s="125"/>
      <c r="Q276" s="125"/>
      <c r="R276" s="125"/>
      <c r="S276" s="125"/>
      <c r="T276" s="125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  <c r="AE276" s="187"/>
      <c r="AF276" s="125"/>
      <c r="AG276" s="125"/>
      <c r="AH276" s="125"/>
      <c r="AI276" s="125"/>
      <c r="AJ276" s="125"/>
      <c r="AK276" s="125"/>
      <c r="AL276" s="125"/>
    </row>
    <row r="277" ht="15.75" customHeight="1">
      <c r="A277" s="125"/>
      <c r="B277" s="125"/>
      <c r="C277" s="125"/>
      <c r="D277" s="125"/>
      <c r="E277" s="125"/>
      <c r="F277" s="125"/>
      <c r="G277" s="125"/>
      <c r="H277" s="125"/>
      <c r="I277" s="125"/>
      <c r="J277" s="125"/>
      <c r="K277" s="125"/>
      <c r="L277" s="125"/>
      <c r="M277" s="125"/>
      <c r="N277" s="125"/>
      <c r="O277" s="125"/>
      <c r="P277" s="125"/>
      <c r="Q277" s="125"/>
      <c r="R277" s="125"/>
      <c r="S277" s="125"/>
      <c r="T277" s="125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87"/>
      <c r="AF277" s="125"/>
      <c r="AG277" s="125"/>
      <c r="AH277" s="125"/>
      <c r="AI277" s="125"/>
      <c r="AJ277" s="125"/>
      <c r="AK277" s="125"/>
      <c r="AL277" s="125"/>
    </row>
    <row r="278" ht="15.75" customHeight="1">
      <c r="A278" s="125"/>
      <c r="B278" s="125"/>
      <c r="C278" s="125"/>
      <c r="D278" s="125"/>
      <c r="E278" s="125"/>
      <c r="F278" s="125"/>
      <c r="G278" s="125"/>
      <c r="H278" s="125"/>
      <c r="I278" s="125"/>
      <c r="J278" s="125"/>
      <c r="K278" s="125"/>
      <c r="L278" s="125"/>
      <c r="M278" s="125"/>
      <c r="N278" s="125"/>
      <c r="O278" s="125"/>
      <c r="P278" s="125"/>
      <c r="Q278" s="125"/>
      <c r="R278" s="125"/>
      <c r="S278" s="125"/>
      <c r="T278" s="125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87"/>
      <c r="AF278" s="125"/>
      <c r="AG278" s="125"/>
      <c r="AH278" s="125"/>
      <c r="AI278" s="125"/>
      <c r="AJ278" s="125"/>
      <c r="AK278" s="125"/>
      <c r="AL278" s="125"/>
    </row>
    <row r="279" ht="15.75" customHeight="1">
      <c r="A279" s="125"/>
      <c r="B279" s="125"/>
      <c r="C279" s="125"/>
      <c r="D279" s="125"/>
      <c r="E279" s="125"/>
      <c r="F279" s="125"/>
      <c r="G279" s="125"/>
      <c r="H279" s="125"/>
      <c r="I279" s="125"/>
      <c r="J279" s="125"/>
      <c r="K279" s="125"/>
      <c r="L279" s="125"/>
      <c r="M279" s="125"/>
      <c r="N279" s="125"/>
      <c r="O279" s="125"/>
      <c r="P279" s="125"/>
      <c r="Q279" s="125"/>
      <c r="R279" s="125"/>
      <c r="S279" s="125"/>
      <c r="T279" s="125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87"/>
      <c r="AF279" s="125"/>
      <c r="AG279" s="125"/>
      <c r="AH279" s="125"/>
      <c r="AI279" s="125"/>
      <c r="AJ279" s="125"/>
      <c r="AK279" s="125"/>
      <c r="AL279" s="125"/>
    </row>
    <row r="280" ht="15.75" customHeight="1">
      <c r="A280" s="125"/>
      <c r="B280" s="125"/>
      <c r="C280" s="125"/>
      <c r="D280" s="125"/>
      <c r="E280" s="125"/>
      <c r="F280" s="125"/>
      <c r="G280" s="125"/>
      <c r="H280" s="125"/>
      <c r="I280" s="125"/>
      <c r="J280" s="125"/>
      <c r="K280" s="125"/>
      <c r="L280" s="125"/>
      <c r="M280" s="125"/>
      <c r="N280" s="125"/>
      <c r="O280" s="125"/>
      <c r="P280" s="125"/>
      <c r="Q280" s="125"/>
      <c r="R280" s="125"/>
      <c r="S280" s="125"/>
      <c r="T280" s="125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87"/>
      <c r="AF280" s="125"/>
      <c r="AG280" s="125"/>
      <c r="AH280" s="125"/>
      <c r="AI280" s="125"/>
      <c r="AJ280" s="125"/>
      <c r="AK280" s="125"/>
      <c r="AL280" s="125"/>
    </row>
    <row r="281" ht="15.75" customHeight="1">
      <c r="A281" s="125"/>
      <c r="B281" s="125"/>
      <c r="C281" s="125"/>
      <c r="D281" s="125"/>
      <c r="E281" s="125"/>
      <c r="F281" s="125"/>
      <c r="G281" s="125"/>
      <c r="H281" s="125"/>
      <c r="I281" s="125"/>
      <c r="J281" s="125"/>
      <c r="K281" s="125"/>
      <c r="L281" s="125"/>
      <c r="M281" s="125"/>
      <c r="N281" s="125"/>
      <c r="O281" s="125"/>
      <c r="P281" s="125"/>
      <c r="Q281" s="125"/>
      <c r="R281" s="125"/>
      <c r="S281" s="125"/>
      <c r="T281" s="125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87"/>
      <c r="AF281" s="125"/>
      <c r="AG281" s="125"/>
      <c r="AH281" s="125"/>
      <c r="AI281" s="125"/>
      <c r="AJ281" s="125"/>
      <c r="AK281" s="125"/>
      <c r="AL281" s="125"/>
    </row>
    <row r="282" ht="15.75" customHeight="1">
      <c r="A282" s="125"/>
      <c r="B282" s="125"/>
      <c r="C282" s="125"/>
      <c r="D282" s="125"/>
      <c r="E282" s="125"/>
      <c r="F282" s="125"/>
      <c r="G282" s="125"/>
      <c r="H282" s="125"/>
      <c r="I282" s="125"/>
      <c r="J282" s="125"/>
      <c r="K282" s="125"/>
      <c r="L282" s="125"/>
      <c r="M282" s="125"/>
      <c r="N282" s="125"/>
      <c r="O282" s="125"/>
      <c r="P282" s="125"/>
      <c r="Q282" s="125"/>
      <c r="R282" s="125"/>
      <c r="S282" s="125"/>
      <c r="T282" s="125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87"/>
      <c r="AF282" s="125"/>
      <c r="AG282" s="125"/>
      <c r="AH282" s="125"/>
      <c r="AI282" s="125"/>
      <c r="AJ282" s="125"/>
      <c r="AK282" s="125"/>
      <c r="AL282" s="125"/>
    </row>
    <row r="283" ht="15.75" customHeight="1">
      <c r="A283" s="125"/>
      <c r="B283" s="125"/>
      <c r="C283" s="125"/>
      <c r="D283" s="125"/>
      <c r="E283" s="125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  <c r="AE283" s="187"/>
      <c r="AF283" s="125"/>
      <c r="AG283" s="125"/>
      <c r="AH283" s="125"/>
      <c r="AI283" s="125"/>
      <c r="AJ283" s="125"/>
      <c r="AK283" s="125"/>
      <c r="AL283" s="125"/>
    </row>
    <row r="284" ht="15.75" customHeight="1">
      <c r="A284" s="125"/>
      <c r="B284" s="125"/>
      <c r="C284" s="125"/>
      <c r="D284" s="125"/>
      <c r="E284" s="125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87"/>
      <c r="AF284" s="125"/>
      <c r="AG284" s="125"/>
      <c r="AH284" s="125"/>
      <c r="AI284" s="125"/>
      <c r="AJ284" s="125"/>
      <c r="AK284" s="125"/>
      <c r="AL284" s="125"/>
    </row>
    <row r="285" ht="15.75" customHeight="1">
      <c r="A285" s="125"/>
      <c r="B285" s="125"/>
      <c r="C285" s="125"/>
      <c r="D285" s="125"/>
      <c r="E285" s="125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87"/>
      <c r="AF285" s="125"/>
      <c r="AG285" s="125"/>
      <c r="AH285" s="125"/>
      <c r="AI285" s="125"/>
      <c r="AJ285" s="125"/>
      <c r="AK285" s="125"/>
      <c r="AL285" s="125"/>
    </row>
    <row r="286" ht="15.75" customHeight="1">
      <c r="A286" s="125"/>
      <c r="B286" s="125"/>
      <c r="C286" s="125"/>
      <c r="D286" s="125"/>
      <c r="E286" s="125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125"/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87"/>
      <c r="AF286" s="125"/>
      <c r="AG286" s="125"/>
      <c r="AH286" s="125"/>
      <c r="AI286" s="125"/>
      <c r="AJ286" s="125"/>
      <c r="AK286" s="125"/>
      <c r="AL286" s="125"/>
    </row>
    <row r="287" ht="15.75" customHeight="1">
      <c r="A287" s="125"/>
      <c r="B287" s="125"/>
      <c r="C287" s="125"/>
      <c r="D287" s="125"/>
      <c r="E287" s="125"/>
      <c r="F287" s="125"/>
      <c r="G287" s="125"/>
      <c r="H287" s="125"/>
      <c r="I287" s="125"/>
      <c r="J287" s="125"/>
      <c r="K287" s="125"/>
      <c r="L287" s="125"/>
      <c r="M287" s="125"/>
      <c r="N287" s="125"/>
      <c r="O287" s="125"/>
      <c r="P287" s="125"/>
      <c r="Q287" s="125"/>
      <c r="R287" s="125"/>
      <c r="S287" s="125"/>
      <c r="T287" s="125"/>
      <c r="U287" s="125"/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87"/>
      <c r="AF287" s="125"/>
      <c r="AG287" s="125"/>
      <c r="AH287" s="125"/>
      <c r="AI287" s="125"/>
      <c r="AJ287" s="125"/>
      <c r="AK287" s="125"/>
      <c r="AL287" s="125"/>
    </row>
    <row r="288" ht="15.75" customHeight="1">
      <c r="A288" s="125"/>
      <c r="B288" s="125"/>
      <c r="C288" s="125"/>
      <c r="D288" s="125"/>
      <c r="E288" s="125"/>
      <c r="F288" s="125"/>
      <c r="G288" s="125"/>
      <c r="H288" s="125"/>
      <c r="I288" s="125"/>
      <c r="J288" s="125"/>
      <c r="K288" s="125"/>
      <c r="L288" s="125"/>
      <c r="M288" s="125"/>
      <c r="N288" s="125"/>
      <c r="O288" s="125"/>
      <c r="P288" s="125"/>
      <c r="Q288" s="125"/>
      <c r="R288" s="125"/>
      <c r="S288" s="125"/>
      <c r="T288" s="125"/>
      <c r="U288" s="125"/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87"/>
      <c r="AF288" s="125"/>
      <c r="AG288" s="125"/>
      <c r="AH288" s="125"/>
      <c r="AI288" s="125"/>
      <c r="AJ288" s="125"/>
      <c r="AK288" s="125"/>
      <c r="AL288" s="125"/>
    </row>
    <row r="289" ht="15.75" customHeight="1">
      <c r="A289" s="125"/>
      <c r="B289" s="125"/>
      <c r="C289" s="125"/>
      <c r="D289" s="125"/>
      <c r="E289" s="125"/>
      <c r="F289" s="125"/>
      <c r="G289" s="125"/>
      <c r="H289" s="125"/>
      <c r="I289" s="125"/>
      <c r="J289" s="125"/>
      <c r="K289" s="125"/>
      <c r="L289" s="125"/>
      <c r="M289" s="125"/>
      <c r="N289" s="125"/>
      <c r="O289" s="125"/>
      <c r="P289" s="125"/>
      <c r="Q289" s="125"/>
      <c r="R289" s="125"/>
      <c r="S289" s="125"/>
      <c r="T289" s="125"/>
      <c r="U289" s="125"/>
      <c r="V289" s="125"/>
      <c r="W289" s="125"/>
      <c r="X289" s="125"/>
      <c r="Y289" s="125"/>
      <c r="Z289" s="125"/>
      <c r="AA289" s="125"/>
      <c r="AB289" s="125"/>
      <c r="AC289" s="125"/>
      <c r="AD289" s="125"/>
      <c r="AE289" s="187"/>
      <c r="AF289" s="125"/>
      <c r="AG289" s="125"/>
      <c r="AH289" s="125"/>
      <c r="AI289" s="125"/>
      <c r="AJ289" s="125"/>
      <c r="AK289" s="125"/>
      <c r="AL289" s="125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S2:T2"/>
    <mergeCell ref="U2:V2"/>
    <mergeCell ref="W2:X2"/>
    <mergeCell ref="Y2:Z2"/>
    <mergeCell ref="AA2:AB2"/>
    <mergeCell ref="AC2:AD2"/>
    <mergeCell ref="E1:T1"/>
    <mergeCell ref="U1:AD1"/>
    <mergeCell ref="E2:F2"/>
    <mergeCell ref="G2:H2"/>
    <mergeCell ref="I2:J2"/>
    <mergeCell ref="K2:L2"/>
    <mergeCell ref="M2:N2"/>
    <mergeCell ref="O2:P2"/>
    <mergeCell ref="Q2:R2"/>
    <mergeCell ref="B7:B10"/>
    <mergeCell ref="B11:B14"/>
    <mergeCell ref="B15:B18"/>
    <mergeCell ref="B47:B49"/>
    <mergeCell ref="B50:B52"/>
    <mergeCell ref="B74:B76"/>
    <mergeCell ref="B77:B79"/>
    <mergeCell ref="B80:B82"/>
    <mergeCell ref="B83:B85"/>
    <mergeCell ref="B86:B88"/>
    <mergeCell ref="B53:B55"/>
    <mergeCell ref="B56:B58"/>
    <mergeCell ref="B59:B61"/>
    <mergeCell ref="B62:B64"/>
    <mergeCell ref="B65:B67"/>
    <mergeCell ref="B68:B70"/>
    <mergeCell ref="B71:B73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1.43"/>
    <col customWidth="1" min="3" max="3" width="11.71"/>
    <col customWidth="1" hidden="1" min="4" max="4" width="11.29"/>
    <col customWidth="1" min="5" max="20" width="10.43"/>
    <col customWidth="1" hidden="1" min="21" max="21" width="9.43"/>
    <col customWidth="1" hidden="1" min="22" max="30" width="8.71"/>
    <col customWidth="1" hidden="1" min="31" max="31" width="11.71"/>
    <col customWidth="1" hidden="1" min="32" max="33" width="8.71"/>
    <col customWidth="1" min="34" max="38" width="8.71"/>
  </cols>
  <sheetData>
    <row r="1">
      <c r="A1" s="9"/>
      <c r="B1" s="9"/>
      <c r="C1" s="9"/>
      <c r="D1" s="9"/>
      <c r="E1" s="118" t="s">
        <v>143</v>
      </c>
      <c r="U1" s="118" t="s">
        <v>144</v>
      </c>
      <c r="AE1" s="119"/>
      <c r="AF1" s="9"/>
      <c r="AG1" s="9"/>
      <c r="AH1" s="9"/>
      <c r="AI1" s="9"/>
      <c r="AJ1" s="9"/>
      <c r="AK1" s="9"/>
      <c r="AL1" s="9"/>
    </row>
    <row r="2" ht="20.25" customHeight="1">
      <c r="A2" s="120"/>
      <c r="B2" s="120"/>
      <c r="C2" s="120"/>
      <c r="D2" s="120"/>
      <c r="E2" s="121" t="s">
        <v>145</v>
      </c>
      <c r="F2" s="43"/>
      <c r="G2" s="121" t="s">
        <v>120</v>
      </c>
      <c r="H2" s="43"/>
      <c r="I2" s="121" t="s">
        <v>121</v>
      </c>
      <c r="J2" s="43"/>
      <c r="K2" s="121" t="s">
        <v>122</v>
      </c>
      <c r="L2" s="43"/>
      <c r="M2" s="121" t="s">
        <v>123</v>
      </c>
      <c r="N2" s="43"/>
      <c r="O2" s="121" t="s">
        <v>124</v>
      </c>
      <c r="P2" s="43"/>
      <c r="Q2" s="121" t="s">
        <v>146</v>
      </c>
      <c r="R2" s="43"/>
      <c r="S2" s="121" t="s">
        <v>12</v>
      </c>
      <c r="T2" s="43"/>
      <c r="U2" s="122" t="s">
        <v>147</v>
      </c>
      <c r="W2" s="122" t="s">
        <v>148</v>
      </c>
      <c r="Y2" s="122" t="s">
        <v>149</v>
      </c>
      <c r="AA2" s="122" t="s">
        <v>150</v>
      </c>
      <c r="AC2" s="122" t="s">
        <v>151</v>
      </c>
      <c r="AE2" s="123"/>
      <c r="AF2" s="124"/>
      <c r="AG2" s="125"/>
      <c r="AH2" s="125"/>
      <c r="AI2" s="125"/>
      <c r="AJ2" s="125"/>
      <c r="AK2" s="125"/>
      <c r="AL2" s="125"/>
    </row>
    <row r="3">
      <c r="A3" s="120" t="s">
        <v>152</v>
      </c>
      <c r="B3" s="120" t="s">
        <v>153</v>
      </c>
      <c r="C3" s="120" t="s">
        <v>154</v>
      </c>
      <c r="D3" s="120" t="s">
        <v>155</v>
      </c>
      <c r="E3" s="120" t="s">
        <v>156</v>
      </c>
      <c r="F3" s="120" t="s">
        <v>157</v>
      </c>
      <c r="G3" s="120" t="s">
        <v>156</v>
      </c>
      <c r="H3" s="120" t="s">
        <v>157</v>
      </c>
      <c r="I3" s="120" t="s">
        <v>156</v>
      </c>
      <c r="J3" s="120" t="s">
        <v>157</v>
      </c>
      <c r="K3" s="120" t="s">
        <v>156</v>
      </c>
      <c r="L3" s="120" t="s">
        <v>157</v>
      </c>
      <c r="M3" s="120" t="s">
        <v>156</v>
      </c>
      <c r="N3" s="120" t="s">
        <v>157</v>
      </c>
      <c r="O3" s="120" t="s">
        <v>156</v>
      </c>
      <c r="P3" s="120" t="s">
        <v>157</v>
      </c>
      <c r="Q3" s="120" t="s">
        <v>156</v>
      </c>
      <c r="R3" s="120" t="s">
        <v>157</v>
      </c>
      <c r="S3" s="120" t="s">
        <v>156</v>
      </c>
      <c r="T3" s="120" t="s">
        <v>157</v>
      </c>
      <c r="U3" s="126" t="s">
        <v>156</v>
      </c>
      <c r="V3" s="126" t="s">
        <v>157</v>
      </c>
      <c r="W3" s="126" t="s">
        <v>156</v>
      </c>
      <c r="X3" s="126" t="s">
        <v>157</v>
      </c>
      <c r="Y3" s="126" t="s">
        <v>156</v>
      </c>
      <c r="Z3" s="126" t="s">
        <v>157</v>
      </c>
      <c r="AA3" s="126" t="s">
        <v>156</v>
      </c>
      <c r="AB3" s="126" t="s">
        <v>157</v>
      </c>
      <c r="AC3" s="126" t="s">
        <v>156</v>
      </c>
      <c r="AD3" s="126" t="s">
        <v>157</v>
      </c>
      <c r="AE3" s="127" t="s">
        <v>158</v>
      </c>
      <c r="AF3" s="124"/>
      <c r="AG3" s="125"/>
      <c r="AH3" s="125"/>
      <c r="AI3" s="125"/>
      <c r="AJ3" s="125"/>
      <c r="AK3" s="125"/>
      <c r="AL3" s="125"/>
    </row>
    <row r="4">
      <c r="A4" s="128">
        <v>1.0</v>
      </c>
      <c r="B4" s="129" t="s">
        <v>159</v>
      </c>
      <c r="C4" s="130"/>
      <c r="D4" s="131"/>
      <c r="E4" s="132">
        <f>+'T1-T6+Infra+MLCP'!D7</f>
        <v>45469</v>
      </c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3" t="str">
        <f>+'T1-T6+Infra+MLCP'!T7</f>
        <v/>
      </c>
      <c r="V4" s="133"/>
      <c r="W4" s="133"/>
      <c r="X4" s="133"/>
      <c r="Y4" s="133"/>
      <c r="Z4" s="133"/>
      <c r="AA4" s="133"/>
      <c r="AB4" s="133"/>
      <c r="AC4" s="133"/>
      <c r="AD4" s="133"/>
      <c r="AE4" s="134"/>
      <c r="AF4" s="135"/>
      <c r="AG4" s="125"/>
      <c r="AH4" s="125"/>
      <c r="AI4" s="125"/>
      <c r="AJ4" s="125"/>
      <c r="AK4" s="125"/>
      <c r="AL4" s="125"/>
    </row>
    <row r="5">
      <c r="A5" s="128">
        <v>2.0</v>
      </c>
      <c r="B5" s="136" t="s">
        <v>39</v>
      </c>
      <c r="C5" s="130"/>
      <c r="D5" s="188">
        <v>10.0</v>
      </c>
      <c r="E5" s="137">
        <f>IFERROR(($E$4+(7*D5)),"NA")</f>
        <v>45539</v>
      </c>
      <c r="F5" s="132"/>
      <c r="G5" s="137">
        <f>+E5+(4*7)</f>
        <v>45567</v>
      </c>
      <c r="H5" s="132"/>
      <c r="I5" s="137">
        <f>+G5+(4*7)</f>
        <v>45595</v>
      </c>
      <c r="J5" s="132"/>
      <c r="K5" s="137">
        <f>+I5+(4*7)</f>
        <v>45623</v>
      </c>
      <c r="L5" s="132"/>
      <c r="M5" s="137">
        <f>+K5+(4*7)</f>
        <v>45651</v>
      </c>
      <c r="N5" s="132"/>
      <c r="O5" s="137">
        <f>+M5+(4*7)</f>
        <v>45679</v>
      </c>
      <c r="P5" s="132"/>
      <c r="Q5" s="132"/>
      <c r="R5" s="132"/>
      <c r="S5" s="132"/>
      <c r="T5" s="132"/>
      <c r="U5" s="133">
        <f>IFERROR(($E$4+(7*T5)),"NA")</f>
        <v>45469</v>
      </c>
      <c r="V5" s="133"/>
      <c r="W5" s="133"/>
      <c r="X5" s="133"/>
      <c r="Y5" s="133"/>
      <c r="Z5" s="133"/>
      <c r="AA5" s="133"/>
      <c r="AB5" s="133"/>
      <c r="AC5" s="133"/>
      <c r="AD5" s="133"/>
      <c r="AE5" s="134"/>
      <c r="AF5" s="135"/>
      <c r="AG5" s="125"/>
      <c r="AH5" s="125"/>
      <c r="AI5" s="125"/>
      <c r="AJ5" s="125"/>
      <c r="AK5" s="125"/>
      <c r="AL5" s="125"/>
    </row>
    <row r="6">
      <c r="A6" s="138" t="s">
        <v>160</v>
      </c>
      <c r="B6" s="139" t="s">
        <v>161</v>
      </c>
      <c r="C6" s="139"/>
      <c r="D6" s="139"/>
      <c r="E6" s="151"/>
      <c r="F6" s="151"/>
      <c r="G6" s="151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2"/>
      <c r="AF6" s="135"/>
      <c r="AG6" s="125"/>
      <c r="AH6" s="125"/>
      <c r="AI6" s="125"/>
      <c r="AJ6" s="125"/>
      <c r="AK6" s="125"/>
      <c r="AL6" s="125"/>
    </row>
    <row r="7">
      <c r="A7" s="189">
        <v>1.0</v>
      </c>
      <c r="B7" s="143" t="s">
        <v>162</v>
      </c>
      <c r="C7" s="130" t="s">
        <v>163</v>
      </c>
      <c r="D7" s="188">
        <v>5.0</v>
      </c>
      <c r="E7" s="132">
        <f>+E4+(D7*7)</f>
        <v>45504</v>
      </c>
      <c r="F7" s="132"/>
      <c r="G7" s="132">
        <f>+E7+(4*7)</f>
        <v>45532</v>
      </c>
      <c r="H7" s="132"/>
      <c r="I7" s="132">
        <f>+G7+(4*7)</f>
        <v>45560</v>
      </c>
      <c r="J7" s="132"/>
      <c r="K7" s="132">
        <f>+I7+(4*7)</f>
        <v>45588</v>
      </c>
      <c r="L7" s="132"/>
      <c r="M7" s="132">
        <f>+K7+(4*7)</f>
        <v>45616</v>
      </c>
      <c r="N7" s="132"/>
      <c r="O7" s="132">
        <f>+M7+(4*7)</f>
        <v>45644</v>
      </c>
      <c r="P7" s="132"/>
      <c r="Q7" s="132">
        <f t="shared" ref="Q7:Q18" si="1">+E7</f>
        <v>45504</v>
      </c>
      <c r="R7" s="132"/>
      <c r="S7" s="132">
        <f t="shared" ref="S7:S18" si="2">+E7</f>
        <v>45504</v>
      </c>
      <c r="T7" s="132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4"/>
      <c r="AF7" s="135"/>
      <c r="AG7" s="125"/>
      <c r="AH7" s="125"/>
      <c r="AI7" s="125"/>
      <c r="AJ7" s="125"/>
      <c r="AK7" s="125"/>
      <c r="AL7" s="125"/>
    </row>
    <row r="8">
      <c r="A8" s="54"/>
      <c r="B8" s="54"/>
      <c r="C8" s="130" t="s">
        <v>164</v>
      </c>
      <c r="D8" s="128">
        <v>2.0</v>
      </c>
      <c r="E8" s="132">
        <f>+E7+(D8*7)</f>
        <v>45518</v>
      </c>
      <c r="F8" s="132"/>
      <c r="G8" s="132">
        <f>+G7+(D8*7)</f>
        <v>45546</v>
      </c>
      <c r="H8" s="132"/>
      <c r="I8" s="132">
        <f>+I7+(D8*7)</f>
        <v>45574</v>
      </c>
      <c r="J8" s="132"/>
      <c r="K8" s="132">
        <f>+K7+(D8*7)</f>
        <v>45602</v>
      </c>
      <c r="L8" s="132"/>
      <c r="M8" s="132">
        <f>+M7+(D8*7)</f>
        <v>45630</v>
      </c>
      <c r="N8" s="132"/>
      <c r="O8" s="132">
        <f>+O7+(D8*7)</f>
        <v>45658</v>
      </c>
      <c r="P8" s="132"/>
      <c r="Q8" s="132">
        <f t="shared" si="1"/>
        <v>45518</v>
      </c>
      <c r="R8" s="132"/>
      <c r="S8" s="132">
        <f t="shared" si="2"/>
        <v>45518</v>
      </c>
      <c r="T8" s="132"/>
      <c r="U8" s="133"/>
      <c r="V8" s="145"/>
      <c r="W8" s="133"/>
      <c r="X8" s="133"/>
      <c r="Y8" s="133"/>
      <c r="Z8" s="133"/>
      <c r="AA8" s="133"/>
      <c r="AB8" s="133"/>
      <c r="AC8" s="133"/>
      <c r="AD8" s="133"/>
      <c r="AE8" s="146"/>
      <c r="AF8" s="135"/>
      <c r="AG8" s="125"/>
      <c r="AH8" s="125"/>
      <c r="AI8" s="125"/>
      <c r="AJ8" s="125"/>
      <c r="AK8" s="125"/>
      <c r="AL8" s="125"/>
    </row>
    <row r="9">
      <c r="A9" s="54"/>
      <c r="B9" s="54"/>
      <c r="C9" s="190" t="s">
        <v>165</v>
      </c>
      <c r="D9" s="191">
        <v>4.0</v>
      </c>
      <c r="E9" s="192">
        <f>E7+(D9*7)</f>
        <v>45532</v>
      </c>
      <c r="F9" s="192"/>
      <c r="G9" s="192">
        <f>G7+(D9*7)</f>
        <v>45560</v>
      </c>
      <c r="H9" s="192"/>
      <c r="I9" s="192">
        <f>I7+(D9*7)</f>
        <v>45588</v>
      </c>
      <c r="J9" s="192"/>
      <c r="K9" s="192">
        <f>K7+(D9*7)</f>
        <v>45616</v>
      </c>
      <c r="L9" s="192"/>
      <c r="M9" s="192">
        <f>M7+(D9*7)</f>
        <v>45644</v>
      </c>
      <c r="N9" s="193"/>
      <c r="O9" s="192">
        <f>O7+(D9*7)</f>
        <v>45672</v>
      </c>
      <c r="P9" s="192"/>
      <c r="Q9" s="192">
        <f t="shared" si="1"/>
        <v>45532</v>
      </c>
      <c r="R9" s="193"/>
      <c r="S9" s="192">
        <f t="shared" si="2"/>
        <v>45532</v>
      </c>
      <c r="T9" s="193"/>
      <c r="U9" s="133"/>
      <c r="V9" s="133"/>
      <c r="W9" s="133"/>
      <c r="X9" s="133"/>
      <c r="Y9" s="133"/>
      <c r="Z9" s="133"/>
      <c r="AA9" s="133"/>
      <c r="AB9" s="133"/>
      <c r="AC9" s="133"/>
      <c r="AD9" s="133"/>
      <c r="AE9" s="146"/>
      <c r="AF9" s="135"/>
      <c r="AG9" s="125"/>
      <c r="AH9" s="125"/>
      <c r="AI9" s="125"/>
      <c r="AJ9" s="125"/>
      <c r="AK9" s="125"/>
      <c r="AL9" s="125"/>
    </row>
    <row r="10">
      <c r="A10" s="59"/>
      <c r="B10" s="59"/>
      <c r="C10" s="130" t="s">
        <v>166</v>
      </c>
      <c r="D10" s="148">
        <v>5.0</v>
      </c>
      <c r="E10" s="194">
        <f>+E7+(D10*7)</f>
        <v>45539</v>
      </c>
      <c r="F10" s="194"/>
      <c r="G10" s="194">
        <f>+G7+(D10*7)</f>
        <v>45567</v>
      </c>
      <c r="H10" s="194"/>
      <c r="I10" s="194">
        <f>+I7+(D10*7)</f>
        <v>45595</v>
      </c>
      <c r="J10" s="194"/>
      <c r="K10" s="194">
        <f>+K7+(D10*7)</f>
        <v>45623</v>
      </c>
      <c r="L10" s="194"/>
      <c r="M10" s="194">
        <f>+M7+(D10*7)</f>
        <v>45651</v>
      </c>
      <c r="N10" s="194"/>
      <c r="O10" s="194">
        <f>+O7+(D10*7)</f>
        <v>45679</v>
      </c>
      <c r="P10" s="194"/>
      <c r="Q10" s="194">
        <f t="shared" si="1"/>
        <v>45539</v>
      </c>
      <c r="R10" s="194"/>
      <c r="S10" s="194">
        <f t="shared" si="2"/>
        <v>45539</v>
      </c>
      <c r="T10" s="194"/>
      <c r="U10" s="133"/>
      <c r="V10" s="133"/>
      <c r="W10" s="133"/>
      <c r="X10" s="133"/>
      <c r="Y10" s="133"/>
      <c r="Z10" s="133"/>
      <c r="AA10" s="133"/>
      <c r="AB10" s="133"/>
      <c r="AC10" s="133"/>
      <c r="AD10" s="133"/>
      <c r="AE10" s="9"/>
      <c r="AF10" s="135"/>
      <c r="AG10" s="125"/>
      <c r="AH10" s="125"/>
      <c r="AI10" s="125"/>
      <c r="AJ10" s="125"/>
      <c r="AK10" s="125"/>
      <c r="AL10" s="125"/>
    </row>
    <row r="11">
      <c r="A11" s="189">
        <v>2.0</v>
      </c>
      <c r="B11" s="143" t="s">
        <v>167</v>
      </c>
      <c r="C11" s="130" t="s">
        <v>163</v>
      </c>
      <c r="D11" s="148">
        <v>3.0</v>
      </c>
      <c r="E11" s="132">
        <f t="shared" ref="E11:E12" si="3">+E10+(D11*7)</f>
        <v>45560</v>
      </c>
      <c r="F11" s="132"/>
      <c r="G11" s="132">
        <f t="shared" ref="G11:G12" si="4">+G10+(D11*7)</f>
        <v>45588</v>
      </c>
      <c r="H11" s="132"/>
      <c r="I11" s="132">
        <f t="shared" ref="I11:I12" si="5">+I10+(D11*7)</f>
        <v>45616</v>
      </c>
      <c r="J11" s="132"/>
      <c r="K11" s="132">
        <f t="shared" ref="K11:K12" si="6">+K10+(D11*7)</f>
        <v>45644</v>
      </c>
      <c r="L11" s="132"/>
      <c r="M11" s="132">
        <f t="shared" ref="M11:M12" si="7">+M10+(D11*7)</f>
        <v>45672</v>
      </c>
      <c r="N11" s="132"/>
      <c r="O11" s="132">
        <f t="shared" ref="O11:O12" si="8">+O10+(D11*7)</f>
        <v>45700</v>
      </c>
      <c r="P11" s="132"/>
      <c r="Q11" s="132">
        <f t="shared" si="1"/>
        <v>45560</v>
      </c>
      <c r="R11" s="132"/>
      <c r="S11" s="132">
        <f t="shared" si="2"/>
        <v>45560</v>
      </c>
      <c r="T11" s="132"/>
      <c r="U11" s="133"/>
      <c r="V11" s="145"/>
      <c r="W11" s="133"/>
      <c r="X11" s="133"/>
      <c r="Y11" s="133"/>
      <c r="Z11" s="133"/>
      <c r="AA11" s="133"/>
      <c r="AB11" s="133"/>
      <c r="AC11" s="133"/>
      <c r="AD11" s="133"/>
      <c r="AE11" s="134"/>
      <c r="AF11" s="135"/>
      <c r="AG11" s="125"/>
      <c r="AH11" s="125"/>
      <c r="AI11" s="125"/>
      <c r="AJ11" s="125"/>
      <c r="AK11" s="125"/>
      <c r="AL11" s="125"/>
    </row>
    <row r="12">
      <c r="A12" s="54"/>
      <c r="B12" s="54"/>
      <c r="C12" s="130" t="s">
        <v>164</v>
      </c>
      <c r="D12" s="148">
        <v>2.0</v>
      </c>
      <c r="E12" s="132">
        <f t="shared" si="3"/>
        <v>45574</v>
      </c>
      <c r="F12" s="132"/>
      <c r="G12" s="132">
        <f t="shared" si="4"/>
        <v>45602</v>
      </c>
      <c r="H12" s="132"/>
      <c r="I12" s="132">
        <f t="shared" si="5"/>
        <v>45630</v>
      </c>
      <c r="J12" s="132"/>
      <c r="K12" s="132">
        <f t="shared" si="6"/>
        <v>45658</v>
      </c>
      <c r="L12" s="132"/>
      <c r="M12" s="132">
        <f t="shared" si="7"/>
        <v>45686</v>
      </c>
      <c r="N12" s="132"/>
      <c r="O12" s="132">
        <f t="shared" si="8"/>
        <v>45714</v>
      </c>
      <c r="P12" s="132"/>
      <c r="Q12" s="132">
        <f t="shared" si="1"/>
        <v>45574</v>
      </c>
      <c r="R12" s="132"/>
      <c r="S12" s="132">
        <f t="shared" si="2"/>
        <v>45574</v>
      </c>
      <c r="T12" s="132"/>
      <c r="U12" s="145"/>
      <c r="V12" s="145"/>
      <c r="W12" s="133"/>
      <c r="X12" s="133"/>
      <c r="Y12" s="133"/>
      <c r="Z12" s="133"/>
      <c r="AA12" s="133"/>
      <c r="AB12" s="133"/>
      <c r="AC12" s="133"/>
      <c r="AD12" s="133"/>
      <c r="AE12" s="146"/>
      <c r="AF12" s="135"/>
      <c r="AG12" s="125"/>
      <c r="AH12" s="125"/>
      <c r="AI12" s="125"/>
      <c r="AJ12" s="125"/>
      <c r="AK12" s="125"/>
      <c r="AL12" s="125"/>
    </row>
    <row r="13">
      <c r="A13" s="54"/>
      <c r="B13" s="54"/>
      <c r="C13" s="190" t="s">
        <v>165</v>
      </c>
      <c r="D13" s="195">
        <v>3.0</v>
      </c>
      <c r="E13" s="192">
        <f>E11+(D13*7)</f>
        <v>45581</v>
      </c>
      <c r="F13" s="192"/>
      <c r="G13" s="192">
        <f>G11+(D13*7)</f>
        <v>45609</v>
      </c>
      <c r="H13" s="192"/>
      <c r="I13" s="192">
        <f>I11+(D13*7)</f>
        <v>45637</v>
      </c>
      <c r="J13" s="192"/>
      <c r="K13" s="192">
        <f>K11+(D13*7)</f>
        <v>45665</v>
      </c>
      <c r="L13" s="192"/>
      <c r="M13" s="192">
        <f>M11+(D13*7)</f>
        <v>45693</v>
      </c>
      <c r="N13" s="193"/>
      <c r="O13" s="192">
        <f>O11+(D13*7)</f>
        <v>45721</v>
      </c>
      <c r="P13" s="192"/>
      <c r="Q13" s="192">
        <f t="shared" si="1"/>
        <v>45581</v>
      </c>
      <c r="R13" s="193"/>
      <c r="S13" s="192">
        <f t="shared" si="2"/>
        <v>45581</v>
      </c>
      <c r="T13" s="193"/>
      <c r="U13" s="145"/>
      <c r="V13" s="145"/>
      <c r="W13" s="133"/>
      <c r="X13" s="133"/>
      <c r="Y13" s="133"/>
      <c r="Z13" s="133"/>
      <c r="AA13" s="133"/>
      <c r="AB13" s="133"/>
      <c r="AC13" s="133"/>
      <c r="AD13" s="133"/>
      <c r="AE13" s="146"/>
      <c r="AF13" s="135"/>
      <c r="AG13" s="125"/>
      <c r="AH13" s="125"/>
      <c r="AI13" s="125"/>
      <c r="AJ13" s="125"/>
      <c r="AK13" s="125"/>
      <c r="AL13" s="125"/>
    </row>
    <row r="14">
      <c r="A14" s="59"/>
      <c r="B14" s="59"/>
      <c r="C14" s="130" t="s">
        <v>166</v>
      </c>
      <c r="D14" s="150">
        <v>4.0</v>
      </c>
      <c r="E14" s="132">
        <f>+E11+(D14*7)</f>
        <v>45588</v>
      </c>
      <c r="F14" s="132"/>
      <c r="G14" s="132">
        <f>+G11+(D14*7)</f>
        <v>45616</v>
      </c>
      <c r="H14" s="132"/>
      <c r="I14" s="132">
        <f>+I11+(D14*7)</f>
        <v>45644</v>
      </c>
      <c r="J14" s="132"/>
      <c r="K14" s="132">
        <f>+K11+(D14*7)</f>
        <v>45672</v>
      </c>
      <c r="L14" s="132"/>
      <c r="M14" s="132">
        <f>+M11+(D14*7)</f>
        <v>45700</v>
      </c>
      <c r="N14" s="132"/>
      <c r="O14" s="132">
        <f>+O11+(D14*7)</f>
        <v>45728</v>
      </c>
      <c r="P14" s="132"/>
      <c r="Q14" s="132">
        <f t="shared" si="1"/>
        <v>45588</v>
      </c>
      <c r="R14" s="132"/>
      <c r="S14" s="132">
        <f t="shared" si="2"/>
        <v>45588</v>
      </c>
      <c r="T14" s="132"/>
      <c r="U14" s="133"/>
      <c r="V14" s="133"/>
      <c r="W14" s="133"/>
      <c r="X14" s="133"/>
      <c r="Y14" s="133"/>
      <c r="Z14" s="133"/>
      <c r="AA14" s="133"/>
      <c r="AB14" s="133"/>
      <c r="AC14" s="133"/>
      <c r="AD14" s="133"/>
      <c r="AE14" s="9"/>
      <c r="AF14" s="135"/>
      <c r="AG14" s="125"/>
      <c r="AH14" s="125"/>
      <c r="AI14" s="125"/>
      <c r="AJ14" s="125"/>
      <c r="AK14" s="125"/>
      <c r="AL14" s="125"/>
    </row>
    <row r="15">
      <c r="A15" s="189">
        <v>3.0</v>
      </c>
      <c r="B15" s="143" t="s">
        <v>168</v>
      </c>
      <c r="C15" s="130" t="s">
        <v>163</v>
      </c>
      <c r="D15" s="128">
        <v>4.0</v>
      </c>
      <c r="E15" s="132">
        <f t="shared" ref="E15:E16" si="9">+E14+(D15*7)</f>
        <v>45616</v>
      </c>
      <c r="F15" s="132"/>
      <c r="G15" s="132">
        <f t="shared" ref="G15:G16" si="10">+G14+(D15*7)</f>
        <v>45644</v>
      </c>
      <c r="H15" s="132"/>
      <c r="I15" s="132">
        <f t="shared" ref="I15:I16" si="11">+I14+(D15*7)</f>
        <v>45672</v>
      </c>
      <c r="J15" s="132"/>
      <c r="K15" s="132">
        <f t="shared" ref="K15:K16" si="12">+K14+(D15*7)</f>
        <v>45700</v>
      </c>
      <c r="L15" s="132"/>
      <c r="M15" s="132">
        <f t="shared" ref="M15:M16" si="13">+M14+(D15*7)</f>
        <v>45728</v>
      </c>
      <c r="N15" s="132"/>
      <c r="O15" s="132">
        <f t="shared" ref="O15:O16" si="14">+O14+(D15*7)</f>
        <v>45756</v>
      </c>
      <c r="P15" s="132"/>
      <c r="Q15" s="132">
        <f t="shared" si="1"/>
        <v>45616</v>
      </c>
      <c r="R15" s="132"/>
      <c r="S15" s="132">
        <f t="shared" si="2"/>
        <v>45616</v>
      </c>
      <c r="T15" s="132"/>
      <c r="U15" s="145"/>
      <c r="V15" s="145"/>
      <c r="W15" s="133"/>
      <c r="X15" s="133"/>
      <c r="Y15" s="133"/>
      <c r="Z15" s="133"/>
      <c r="AA15" s="133"/>
      <c r="AB15" s="133"/>
      <c r="AC15" s="133"/>
      <c r="AD15" s="133"/>
      <c r="AE15" s="134"/>
      <c r="AF15" s="135"/>
      <c r="AG15" s="125"/>
      <c r="AH15" s="125"/>
      <c r="AI15" s="125"/>
      <c r="AJ15" s="125"/>
      <c r="AK15" s="125"/>
      <c r="AL15" s="125"/>
    </row>
    <row r="16">
      <c r="A16" s="54"/>
      <c r="B16" s="54"/>
      <c r="C16" s="130" t="s">
        <v>164</v>
      </c>
      <c r="D16" s="128">
        <v>2.0</v>
      </c>
      <c r="E16" s="132">
        <f t="shared" si="9"/>
        <v>45630</v>
      </c>
      <c r="F16" s="132"/>
      <c r="G16" s="132">
        <f t="shared" si="10"/>
        <v>45658</v>
      </c>
      <c r="H16" s="132"/>
      <c r="I16" s="132">
        <f t="shared" si="11"/>
        <v>45686</v>
      </c>
      <c r="J16" s="132"/>
      <c r="K16" s="132">
        <f t="shared" si="12"/>
        <v>45714</v>
      </c>
      <c r="L16" s="132"/>
      <c r="M16" s="132">
        <f t="shared" si="13"/>
        <v>45742</v>
      </c>
      <c r="N16" s="132"/>
      <c r="O16" s="132">
        <f t="shared" si="14"/>
        <v>45770</v>
      </c>
      <c r="P16" s="132"/>
      <c r="Q16" s="132">
        <f t="shared" si="1"/>
        <v>45630</v>
      </c>
      <c r="R16" s="132"/>
      <c r="S16" s="132">
        <f t="shared" si="2"/>
        <v>45630</v>
      </c>
      <c r="T16" s="132"/>
      <c r="U16" s="133"/>
      <c r="V16" s="145"/>
      <c r="W16" s="133"/>
      <c r="X16" s="133"/>
      <c r="Y16" s="133"/>
      <c r="Z16" s="133"/>
      <c r="AA16" s="133"/>
      <c r="AB16" s="133"/>
      <c r="AC16" s="133"/>
      <c r="AD16" s="133"/>
      <c r="AE16" s="146"/>
      <c r="AF16" s="135"/>
      <c r="AG16" s="125"/>
      <c r="AH16" s="125"/>
      <c r="AI16" s="125"/>
      <c r="AJ16" s="125"/>
      <c r="AK16" s="125"/>
      <c r="AL16" s="125"/>
    </row>
    <row r="17">
      <c r="A17" s="54"/>
      <c r="B17" s="54"/>
      <c r="C17" s="190" t="s">
        <v>165</v>
      </c>
      <c r="D17" s="191">
        <v>6.0</v>
      </c>
      <c r="E17" s="192">
        <f>E15+(D17*7)</f>
        <v>45658</v>
      </c>
      <c r="F17" s="192"/>
      <c r="G17" s="192">
        <f>G15+(D17*7)</f>
        <v>45686</v>
      </c>
      <c r="H17" s="192"/>
      <c r="I17" s="192">
        <f>I15+(D17*7)</f>
        <v>45714</v>
      </c>
      <c r="J17" s="192"/>
      <c r="K17" s="192">
        <f>K15+(D17*7)</f>
        <v>45742</v>
      </c>
      <c r="L17" s="192"/>
      <c r="M17" s="192">
        <f>M15+(D17*7)</f>
        <v>45770</v>
      </c>
      <c r="N17" s="193"/>
      <c r="O17" s="192">
        <f>O15+(D17*7)</f>
        <v>45798</v>
      </c>
      <c r="P17" s="192"/>
      <c r="Q17" s="192">
        <f t="shared" si="1"/>
        <v>45658</v>
      </c>
      <c r="R17" s="193"/>
      <c r="S17" s="192">
        <f t="shared" si="2"/>
        <v>45658</v>
      </c>
      <c r="T17" s="193"/>
      <c r="U17" s="133"/>
      <c r="V17" s="145"/>
      <c r="W17" s="133"/>
      <c r="X17" s="133"/>
      <c r="Y17" s="133"/>
      <c r="Z17" s="133"/>
      <c r="AA17" s="133"/>
      <c r="AB17" s="133"/>
      <c r="AC17" s="133"/>
      <c r="AD17" s="133"/>
      <c r="AE17" s="146"/>
      <c r="AF17" s="135"/>
      <c r="AG17" s="125"/>
      <c r="AH17" s="125"/>
      <c r="AI17" s="125"/>
      <c r="AJ17" s="125"/>
      <c r="AK17" s="125"/>
      <c r="AL17" s="125"/>
    </row>
    <row r="18">
      <c r="A18" s="59"/>
      <c r="B18" s="59"/>
      <c r="C18" s="130" t="s">
        <v>166</v>
      </c>
      <c r="D18" s="148">
        <v>7.0</v>
      </c>
      <c r="E18" s="132">
        <f>+E15+(D18*7)</f>
        <v>45665</v>
      </c>
      <c r="F18" s="132"/>
      <c r="G18" s="132">
        <f>+G15+(D18*7)</f>
        <v>45693</v>
      </c>
      <c r="H18" s="132"/>
      <c r="I18" s="132">
        <f>+I15+(D18*7)</f>
        <v>45721</v>
      </c>
      <c r="J18" s="132"/>
      <c r="K18" s="132">
        <f>+K15+(D18*7)</f>
        <v>45749</v>
      </c>
      <c r="L18" s="132"/>
      <c r="M18" s="132">
        <f>+M15+(D18*7)</f>
        <v>45777</v>
      </c>
      <c r="N18" s="132"/>
      <c r="O18" s="132">
        <f>+O15+(D18*7)</f>
        <v>45805</v>
      </c>
      <c r="P18" s="132"/>
      <c r="Q18" s="132">
        <f t="shared" si="1"/>
        <v>45665</v>
      </c>
      <c r="R18" s="132"/>
      <c r="S18" s="132">
        <f t="shared" si="2"/>
        <v>45665</v>
      </c>
      <c r="T18" s="132"/>
      <c r="U18" s="133"/>
      <c r="V18" s="133"/>
      <c r="W18" s="133"/>
      <c r="X18" s="133"/>
      <c r="Y18" s="133"/>
      <c r="Z18" s="133"/>
      <c r="AA18" s="133"/>
      <c r="AB18" s="133"/>
      <c r="AC18" s="133"/>
      <c r="AD18" s="133"/>
      <c r="AE18" s="9"/>
      <c r="AF18" s="135"/>
      <c r="AG18" s="125"/>
      <c r="AH18" s="125"/>
      <c r="AI18" s="125"/>
      <c r="AJ18" s="125"/>
      <c r="AK18" s="125"/>
      <c r="AL18" s="125"/>
    </row>
    <row r="19">
      <c r="A19" s="138" t="s">
        <v>169</v>
      </c>
      <c r="B19" s="139" t="s">
        <v>4</v>
      </c>
      <c r="C19" s="139"/>
      <c r="D19" s="139"/>
      <c r="E19" s="151"/>
      <c r="F19" s="151"/>
      <c r="G19" s="151"/>
      <c r="H19" s="151"/>
      <c r="I19" s="153"/>
      <c r="J19" s="153"/>
      <c r="K19" s="153"/>
      <c r="L19" s="151"/>
      <c r="M19" s="153"/>
      <c r="N19" s="151"/>
      <c r="O19" s="153"/>
      <c r="P19" s="151"/>
      <c r="Q19" s="151"/>
      <c r="R19" s="151"/>
      <c r="S19" s="151"/>
      <c r="T19" s="151"/>
      <c r="U19" s="141"/>
      <c r="V19" s="141"/>
      <c r="W19" s="133"/>
      <c r="X19" s="133"/>
      <c r="Y19" s="145"/>
      <c r="Z19" s="145"/>
      <c r="AA19" s="145"/>
      <c r="AB19" s="145"/>
      <c r="AC19" s="145"/>
      <c r="AD19" s="145"/>
      <c r="AE19" s="142"/>
      <c r="AF19" s="135"/>
      <c r="AG19" s="125"/>
      <c r="AH19" s="125"/>
      <c r="AI19" s="125"/>
      <c r="AJ19" s="125"/>
      <c r="AK19" s="125"/>
      <c r="AL19" s="125"/>
    </row>
    <row r="20" ht="15.75" customHeight="1">
      <c r="A20" s="196">
        <v>1.0</v>
      </c>
      <c r="B20" s="156" t="s">
        <v>173</v>
      </c>
      <c r="C20" s="156" t="s">
        <v>165</v>
      </c>
      <c r="D20" s="155">
        <v>4.0</v>
      </c>
      <c r="E20" s="154">
        <f>+E12+(D20*7)</f>
        <v>45602</v>
      </c>
      <c r="F20" s="154"/>
      <c r="G20" s="154">
        <f>+G12+(D20*7)</f>
        <v>45630</v>
      </c>
      <c r="H20" s="154"/>
      <c r="I20" s="154">
        <f>+I12+(D20*7)</f>
        <v>45658</v>
      </c>
      <c r="J20" s="154"/>
      <c r="K20" s="154">
        <f>+K12+(D20*7)</f>
        <v>45686</v>
      </c>
      <c r="L20" s="154"/>
      <c r="M20" s="154">
        <f>+M12+(D20*7)</f>
        <v>45714</v>
      </c>
      <c r="N20" s="154"/>
      <c r="O20" s="154">
        <f>+O12+(D20*7)</f>
        <v>45742</v>
      </c>
      <c r="P20" s="154"/>
      <c r="Q20" s="154">
        <f t="shared" ref="Q20:Q40" si="15">+E20</f>
        <v>45602</v>
      </c>
      <c r="R20" s="154"/>
      <c r="S20" s="154">
        <f t="shared" ref="S20:S40" si="16">+E20</f>
        <v>45602</v>
      </c>
      <c r="T20" s="154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62"/>
      <c r="AF20" s="160"/>
      <c r="AG20" s="161"/>
      <c r="AH20" s="161"/>
      <c r="AI20" s="161"/>
      <c r="AJ20" s="161"/>
      <c r="AK20" s="161"/>
      <c r="AL20" s="161"/>
    </row>
    <row r="21" ht="15.75" customHeight="1">
      <c r="A21" s="196">
        <v>2.0</v>
      </c>
      <c r="B21" s="163" t="s">
        <v>174</v>
      </c>
      <c r="C21" s="156" t="s">
        <v>165</v>
      </c>
      <c r="D21" s="155">
        <v>6.0</v>
      </c>
      <c r="E21" s="154">
        <f>+E15+(D21*7)</f>
        <v>45658</v>
      </c>
      <c r="F21" s="154"/>
      <c r="G21" s="154">
        <f>+G15+(D21*7)</f>
        <v>45686</v>
      </c>
      <c r="H21" s="154"/>
      <c r="I21" s="154">
        <f>+I15+(D21*7)</f>
        <v>45714</v>
      </c>
      <c r="J21" s="154"/>
      <c r="K21" s="154">
        <f>+K15+(D21*7)</f>
        <v>45742</v>
      </c>
      <c r="L21" s="154"/>
      <c r="M21" s="154">
        <f>+M15+(D21*7)</f>
        <v>45770</v>
      </c>
      <c r="N21" s="154"/>
      <c r="O21" s="154">
        <f>+O15+(D21*7)</f>
        <v>45798</v>
      </c>
      <c r="P21" s="154"/>
      <c r="Q21" s="154">
        <f t="shared" si="15"/>
        <v>45658</v>
      </c>
      <c r="R21" s="154"/>
      <c r="S21" s="154">
        <f t="shared" si="16"/>
        <v>45658</v>
      </c>
      <c r="T21" s="154"/>
      <c r="U21" s="133"/>
      <c r="V21" s="133"/>
      <c r="W21" s="133"/>
      <c r="X21" s="133"/>
      <c r="Y21" s="133"/>
      <c r="Z21" s="133"/>
      <c r="AA21" s="133"/>
      <c r="AB21" s="133"/>
      <c r="AC21" s="133"/>
      <c r="AD21" s="133"/>
      <c r="AE21" s="162"/>
      <c r="AF21" s="164"/>
      <c r="AG21" s="161"/>
      <c r="AH21" s="161"/>
      <c r="AI21" s="161"/>
      <c r="AJ21" s="161"/>
      <c r="AK21" s="161"/>
      <c r="AL21" s="161"/>
    </row>
    <row r="22" ht="15.75" customHeight="1">
      <c r="A22" s="196">
        <v>3.0</v>
      </c>
      <c r="B22" s="165" t="s">
        <v>175</v>
      </c>
      <c r="C22" s="156" t="s">
        <v>165</v>
      </c>
      <c r="D22" s="155">
        <v>7.0</v>
      </c>
      <c r="E22" s="154">
        <f t="shared" ref="E22:E40" si="17">$E$18+(D22*7)</f>
        <v>45714</v>
      </c>
      <c r="F22" s="154"/>
      <c r="G22" s="154">
        <f t="shared" ref="G22:G40" si="18">$G$18+(D22*7)</f>
        <v>45742</v>
      </c>
      <c r="H22" s="154"/>
      <c r="I22" s="154">
        <f t="shared" ref="I22:I39" si="19">$I$18+(D22*7)</f>
        <v>45770</v>
      </c>
      <c r="J22" s="154"/>
      <c r="K22" s="154">
        <f t="shared" ref="K22:K39" si="20">$K$18+(D22*7)</f>
        <v>45798</v>
      </c>
      <c r="L22" s="154"/>
      <c r="M22" s="154">
        <f t="shared" ref="M22:M39" si="21">$M$18+(D22*7)</f>
        <v>45826</v>
      </c>
      <c r="N22" s="154"/>
      <c r="O22" s="154">
        <f t="shared" ref="O22:O39" si="22">$M$18+(D22*7)</f>
        <v>45826</v>
      </c>
      <c r="P22" s="154"/>
      <c r="Q22" s="154">
        <f t="shared" si="15"/>
        <v>45714</v>
      </c>
      <c r="R22" s="154"/>
      <c r="S22" s="154">
        <f t="shared" si="16"/>
        <v>45714</v>
      </c>
      <c r="T22" s="154"/>
      <c r="U22" s="166"/>
      <c r="V22" s="133"/>
      <c r="W22" s="133"/>
      <c r="X22" s="133"/>
      <c r="Y22" s="133"/>
      <c r="Z22" s="133"/>
      <c r="AA22" s="133"/>
      <c r="AB22" s="133"/>
      <c r="AC22" s="133"/>
      <c r="AD22" s="133"/>
      <c r="AE22" s="159"/>
      <c r="AF22" s="160"/>
      <c r="AG22" s="161"/>
      <c r="AH22" s="161"/>
      <c r="AI22" s="161"/>
      <c r="AJ22" s="161"/>
      <c r="AK22" s="161"/>
      <c r="AL22" s="161"/>
    </row>
    <row r="23" ht="15.75" customHeight="1">
      <c r="A23" s="196">
        <v>4.0</v>
      </c>
      <c r="B23" s="165" t="s">
        <v>176</v>
      </c>
      <c r="C23" s="156" t="s">
        <v>165</v>
      </c>
      <c r="D23" s="155">
        <v>6.0</v>
      </c>
      <c r="E23" s="154">
        <f t="shared" si="17"/>
        <v>45707</v>
      </c>
      <c r="F23" s="154"/>
      <c r="G23" s="154">
        <f t="shared" si="18"/>
        <v>45735</v>
      </c>
      <c r="H23" s="154"/>
      <c r="I23" s="154">
        <f t="shared" si="19"/>
        <v>45763</v>
      </c>
      <c r="J23" s="154"/>
      <c r="K23" s="154">
        <f t="shared" si="20"/>
        <v>45791</v>
      </c>
      <c r="L23" s="154"/>
      <c r="M23" s="154">
        <f t="shared" si="21"/>
        <v>45819</v>
      </c>
      <c r="N23" s="154"/>
      <c r="O23" s="154">
        <f t="shared" si="22"/>
        <v>45819</v>
      </c>
      <c r="P23" s="154"/>
      <c r="Q23" s="154">
        <f t="shared" si="15"/>
        <v>45707</v>
      </c>
      <c r="R23" s="154"/>
      <c r="S23" s="154">
        <f t="shared" si="16"/>
        <v>45707</v>
      </c>
      <c r="T23" s="154"/>
      <c r="U23" s="133"/>
      <c r="V23" s="133"/>
      <c r="W23" s="133"/>
      <c r="X23" s="133"/>
      <c r="Y23" s="133"/>
      <c r="Z23" s="133"/>
      <c r="AA23" s="133"/>
      <c r="AB23" s="133"/>
      <c r="AC23" s="133"/>
      <c r="AD23" s="133"/>
      <c r="AE23" s="159"/>
      <c r="AF23" s="160"/>
      <c r="AG23" s="161"/>
      <c r="AH23" s="161"/>
      <c r="AI23" s="161"/>
      <c r="AJ23" s="161"/>
      <c r="AK23" s="161"/>
      <c r="AL23" s="161"/>
    </row>
    <row r="24" ht="15.75" customHeight="1">
      <c r="A24" s="196">
        <v>5.0</v>
      </c>
      <c r="B24" s="165" t="s">
        <v>177</v>
      </c>
      <c r="C24" s="156" t="s">
        <v>165</v>
      </c>
      <c r="D24" s="128">
        <v>9.0</v>
      </c>
      <c r="E24" s="154">
        <f t="shared" si="17"/>
        <v>45728</v>
      </c>
      <c r="F24" s="154"/>
      <c r="G24" s="154">
        <f t="shared" si="18"/>
        <v>45756</v>
      </c>
      <c r="H24" s="154"/>
      <c r="I24" s="154">
        <f t="shared" si="19"/>
        <v>45784</v>
      </c>
      <c r="J24" s="154"/>
      <c r="K24" s="154">
        <f t="shared" si="20"/>
        <v>45812</v>
      </c>
      <c r="L24" s="154"/>
      <c r="M24" s="154">
        <f t="shared" si="21"/>
        <v>45840</v>
      </c>
      <c r="N24" s="154"/>
      <c r="O24" s="154">
        <f t="shared" si="22"/>
        <v>45840</v>
      </c>
      <c r="P24" s="154"/>
      <c r="Q24" s="154">
        <f t="shared" si="15"/>
        <v>45728</v>
      </c>
      <c r="R24" s="154"/>
      <c r="S24" s="154">
        <f t="shared" si="16"/>
        <v>45728</v>
      </c>
      <c r="T24" s="154"/>
      <c r="U24" s="133"/>
      <c r="V24" s="133"/>
      <c r="W24" s="133"/>
      <c r="X24" s="133"/>
      <c r="Y24" s="133"/>
      <c r="Z24" s="133"/>
      <c r="AA24" s="133"/>
      <c r="AB24" s="133"/>
      <c r="AC24" s="133"/>
      <c r="AD24" s="133"/>
      <c r="AE24" s="159"/>
      <c r="AF24" s="160"/>
      <c r="AG24" s="161"/>
      <c r="AH24" s="161"/>
      <c r="AI24" s="161"/>
      <c r="AJ24" s="161"/>
      <c r="AK24" s="161"/>
      <c r="AL24" s="161"/>
    </row>
    <row r="25" ht="15.75" customHeight="1">
      <c r="A25" s="196">
        <v>6.0</v>
      </c>
      <c r="B25" s="165" t="s">
        <v>178</v>
      </c>
      <c r="C25" s="156" t="s">
        <v>165</v>
      </c>
      <c r="D25" s="155">
        <v>12.0</v>
      </c>
      <c r="E25" s="154">
        <f t="shared" si="17"/>
        <v>45749</v>
      </c>
      <c r="F25" s="154"/>
      <c r="G25" s="154">
        <f t="shared" si="18"/>
        <v>45777</v>
      </c>
      <c r="H25" s="154"/>
      <c r="I25" s="154">
        <f t="shared" si="19"/>
        <v>45805</v>
      </c>
      <c r="J25" s="154"/>
      <c r="K25" s="154">
        <f t="shared" si="20"/>
        <v>45833</v>
      </c>
      <c r="L25" s="154"/>
      <c r="M25" s="154">
        <f t="shared" si="21"/>
        <v>45861</v>
      </c>
      <c r="N25" s="154"/>
      <c r="O25" s="154">
        <f t="shared" si="22"/>
        <v>45861</v>
      </c>
      <c r="P25" s="154"/>
      <c r="Q25" s="154">
        <f t="shared" si="15"/>
        <v>45749</v>
      </c>
      <c r="R25" s="154"/>
      <c r="S25" s="154">
        <f t="shared" si="16"/>
        <v>45749</v>
      </c>
      <c r="T25" s="154"/>
      <c r="U25" s="133"/>
      <c r="V25" s="133"/>
      <c r="W25" s="133"/>
      <c r="X25" s="133"/>
      <c r="Y25" s="133"/>
      <c r="Z25" s="133"/>
      <c r="AA25" s="133"/>
      <c r="AB25" s="133"/>
      <c r="AC25" s="133"/>
      <c r="AD25" s="133"/>
      <c r="AE25" s="159"/>
      <c r="AF25" s="160"/>
      <c r="AG25" s="161"/>
      <c r="AH25" s="161"/>
      <c r="AI25" s="161"/>
      <c r="AJ25" s="161"/>
      <c r="AK25" s="161"/>
      <c r="AL25" s="161"/>
    </row>
    <row r="26" ht="15.75" customHeight="1">
      <c r="A26" s="196">
        <v>7.0</v>
      </c>
      <c r="B26" s="165" t="s">
        <v>179</v>
      </c>
      <c r="C26" s="156" t="s">
        <v>165</v>
      </c>
      <c r="D26" s="128">
        <v>13.0</v>
      </c>
      <c r="E26" s="154">
        <f t="shared" si="17"/>
        <v>45756</v>
      </c>
      <c r="F26" s="154"/>
      <c r="G26" s="154">
        <f t="shared" si="18"/>
        <v>45784</v>
      </c>
      <c r="H26" s="154"/>
      <c r="I26" s="154">
        <f t="shared" si="19"/>
        <v>45812</v>
      </c>
      <c r="J26" s="154"/>
      <c r="K26" s="154">
        <f t="shared" si="20"/>
        <v>45840</v>
      </c>
      <c r="L26" s="154"/>
      <c r="M26" s="154">
        <f t="shared" si="21"/>
        <v>45868</v>
      </c>
      <c r="N26" s="154"/>
      <c r="O26" s="154">
        <f t="shared" si="22"/>
        <v>45868</v>
      </c>
      <c r="P26" s="154"/>
      <c r="Q26" s="154">
        <f t="shared" si="15"/>
        <v>45756</v>
      </c>
      <c r="R26" s="154"/>
      <c r="S26" s="154">
        <f t="shared" si="16"/>
        <v>45756</v>
      </c>
      <c r="T26" s="154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59"/>
      <c r="AF26" s="160"/>
      <c r="AG26" s="161"/>
      <c r="AH26" s="161"/>
      <c r="AI26" s="161"/>
      <c r="AJ26" s="161"/>
      <c r="AK26" s="161"/>
      <c r="AL26" s="161"/>
    </row>
    <row r="27" ht="15.75" customHeight="1">
      <c r="A27" s="196">
        <v>8.0</v>
      </c>
      <c r="B27" s="165" t="s">
        <v>180</v>
      </c>
      <c r="C27" s="156" t="s">
        <v>165</v>
      </c>
      <c r="D27" s="155">
        <v>6.0</v>
      </c>
      <c r="E27" s="154">
        <f t="shared" si="17"/>
        <v>45707</v>
      </c>
      <c r="F27" s="154"/>
      <c r="G27" s="154">
        <f t="shared" si="18"/>
        <v>45735</v>
      </c>
      <c r="H27" s="154"/>
      <c r="I27" s="154">
        <f t="shared" si="19"/>
        <v>45763</v>
      </c>
      <c r="J27" s="154"/>
      <c r="K27" s="154">
        <f t="shared" si="20"/>
        <v>45791</v>
      </c>
      <c r="L27" s="154"/>
      <c r="M27" s="154">
        <f t="shared" si="21"/>
        <v>45819</v>
      </c>
      <c r="N27" s="154"/>
      <c r="O27" s="154">
        <f t="shared" si="22"/>
        <v>45819</v>
      </c>
      <c r="P27" s="154"/>
      <c r="Q27" s="154">
        <f t="shared" si="15"/>
        <v>45707</v>
      </c>
      <c r="R27" s="154"/>
      <c r="S27" s="154">
        <f t="shared" si="16"/>
        <v>45707</v>
      </c>
      <c r="T27" s="154"/>
      <c r="U27" s="133"/>
      <c r="V27" s="133"/>
      <c r="W27" s="133"/>
      <c r="X27" s="133"/>
      <c r="Y27" s="133"/>
      <c r="Z27" s="133"/>
      <c r="AA27" s="133"/>
      <c r="AB27" s="133"/>
      <c r="AC27" s="133"/>
      <c r="AD27" s="133"/>
      <c r="AE27" s="159"/>
      <c r="AF27" s="167"/>
      <c r="AG27" s="161"/>
      <c r="AH27" s="161"/>
      <c r="AI27" s="161"/>
      <c r="AJ27" s="161"/>
      <c r="AK27" s="161"/>
      <c r="AL27" s="161"/>
    </row>
    <row r="28" ht="15.75" customHeight="1">
      <c r="A28" s="196">
        <v>9.0</v>
      </c>
      <c r="B28" s="169" t="s">
        <v>181</v>
      </c>
      <c r="C28" s="170" t="s">
        <v>165</v>
      </c>
      <c r="D28" s="171">
        <v>12.0</v>
      </c>
      <c r="E28" s="172">
        <f t="shared" si="17"/>
        <v>45749</v>
      </c>
      <c r="F28" s="172"/>
      <c r="G28" s="172">
        <f t="shared" si="18"/>
        <v>45777</v>
      </c>
      <c r="H28" s="172"/>
      <c r="I28" s="172">
        <f t="shared" si="19"/>
        <v>45805</v>
      </c>
      <c r="J28" s="172"/>
      <c r="K28" s="172">
        <f t="shared" si="20"/>
        <v>45833</v>
      </c>
      <c r="L28" s="172"/>
      <c r="M28" s="172">
        <f t="shared" si="21"/>
        <v>45861</v>
      </c>
      <c r="N28" s="172"/>
      <c r="O28" s="172">
        <f t="shared" si="22"/>
        <v>45861</v>
      </c>
      <c r="P28" s="172"/>
      <c r="Q28" s="172">
        <f t="shared" si="15"/>
        <v>45749</v>
      </c>
      <c r="R28" s="172"/>
      <c r="S28" s="172">
        <f t="shared" si="16"/>
        <v>45749</v>
      </c>
      <c r="T28" s="172"/>
      <c r="U28" s="173"/>
      <c r="V28" s="173"/>
      <c r="W28" s="133"/>
      <c r="X28" s="173"/>
      <c r="Y28" s="133"/>
      <c r="Z28" s="173"/>
      <c r="AA28" s="133"/>
      <c r="AB28" s="173"/>
      <c r="AC28" s="133"/>
      <c r="AD28" s="173"/>
      <c r="AE28" s="174"/>
      <c r="AF28" s="175"/>
      <c r="AG28" s="175"/>
      <c r="AH28" s="175"/>
      <c r="AI28" s="175"/>
      <c r="AJ28" s="175"/>
      <c r="AK28" s="175"/>
      <c r="AL28" s="175"/>
    </row>
    <row r="29" ht="15.75" customHeight="1">
      <c r="A29" s="196">
        <v>10.0</v>
      </c>
      <c r="B29" s="176" t="s">
        <v>182</v>
      </c>
      <c r="C29" s="156" t="s">
        <v>165</v>
      </c>
      <c r="D29" s="177">
        <v>12.0</v>
      </c>
      <c r="E29" s="154">
        <f t="shared" si="17"/>
        <v>45749</v>
      </c>
      <c r="F29" s="178"/>
      <c r="G29" s="154">
        <f t="shared" si="18"/>
        <v>45777</v>
      </c>
      <c r="H29" s="178"/>
      <c r="I29" s="154">
        <f t="shared" si="19"/>
        <v>45805</v>
      </c>
      <c r="J29" s="178"/>
      <c r="K29" s="154">
        <f t="shared" si="20"/>
        <v>45833</v>
      </c>
      <c r="L29" s="154"/>
      <c r="M29" s="154">
        <f t="shared" si="21"/>
        <v>45861</v>
      </c>
      <c r="N29" s="154"/>
      <c r="O29" s="154">
        <f t="shared" si="22"/>
        <v>45861</v>
      </c>
      <c r="P29" s="154"/>
      <c r="Q29" s="154">
        <f t="shared" si="15"/>
        <v>45749</v>
      </c>
      <c r="R29" s="154"/>
      <c r="S29" s="154">
        <f t="shared" si="16"/>
        <v>45749</v>
      </c>
      <c r="T29" s="154"/>
      <c r="U29" s="173"/>
      <c r="V29" s="173"/>
      <c r="W29" s="133"/>
      <c r="X29" s="173"/>
      <c r="Y29" s="133"/>
      <c r="Z29" s="173"/>
      <c r="AA29" s="133"/>
      <c r="AB29" s="173"/>
      <c r="AC29" s="133"/>
      <c r="AD29" s="173"/>
      <c r="AE29" s="174"/>
      <c r="AF29" s="175"/>
      <c r="AG29" s="175"/>
      <c r="AH29" s="175"/>
      <c r="AI29" s="175"/>
      <c r="AJ29" s="175"/>
      <c r="AK29" s="175"/>
      <c r="AL29" s="175"/>
    </row>
    <row r="30" ht="15.75" customHeight="1">
      <c r="A30" s="196">
        <v>11.0</v>
      </c>
      <c r="B30" s="156" t="s">
        <v>183</v>
      </c>
      <c r="C30" s="156" t="s">
        <v>165</v>
      </c>
      <c r="D30" s="128">
        <v>14.0</v>
      </c>
      <c r="E30" s="154">
        <f t="shared" si="17"/>
        <v>45763</v>
      </c>
      <c r="F30" s="154"/>
      <c r="G30" s="154">
        <f t="shared" si="18"/>
        <v>45791</v>
      </c>
      <c r="H30" s="154"/>
      <c r="I30" s="154">
        <f t="shared" si="19"/>
        <v>45819</v>
      </c>
      <c r="J30" s="154"/>
      <c r="K30" s="154">
        <f t="shared" si="20"/>
        <v>45847</v>
      </c>
      <c r="L30" s="154"/>
      <c r="M30" s="154">
        <f t="shared" si="21"/>
        <v>45875</v>
      </c>
      <c r="N30" s="154"/>
      <c r="O30" s="154">
        <f t="shared" si="22"/>
        <v>45875</v>
      </c>
      <c r="P30" s="154"/>
      <c r="Q30" s="154">
        <f t="shared" si="15"/>
        <v>45763</v>
      </c>
      <c r="R30" s="154"/>
      <c r="S30" s="154">
        <f t="shared" si="16"/>
        <v>45763</v>
      </c>
      <c r="T30" s="154"/>
      <c r="U30" s="133"/>
      <c r="V30" s="133"/>
      <c r="W30" s="133"/>
      <c r="X30" s="133"/>
      <c r="Y30" s="133"/>
      <c r="Z30" s="133"/>
      <c r="AA30" s="133"/>
      <c r="AB30" s="133"/>
      <c r="AC30" s="133"/>
      <c r="AD30" s="133"/>
      <c r="AE30" s="159"/>
      <c r="AF30" s="160"/>
      <c r="AG30" s="161"/>
      <c r="AH30" s="161"/>
      <c r="AI30" s="161"/>
      <c r="AJ30" s="161"/>
      <c r="AK30" s="161"/>
      <c r="AL30" s="161"/>
    </row>
    <row r="31" ht="15.75" customHeight="1">
      <c r="A31" s="196">
        <v>12.0</v>
      </c>
      <c r="B31" s="165" t="s">
        <v>184</v>
      </c>
      <c r="C31" s="156" t="s">
        <v>165</v>
      </c>
      <c r="D31" s="128">
        <v>15.0</v>
      </c>
      <c r="E31" s="154">
        <f t="shared" si="17"/>
        <v>45770</v>
      </c>
      <c r="F31" s="154"/>
      <c r="G31" s="154">
        <f t="shared" si="18"/>
        <v>45798</v>
      </c>
      <c r="H31" s="154"/>
      <c r="I31" s="154">
        <f t="shared" si="19"/>
        <v>45826</v>
      </c>
      <c r="J31" s="154"/>
      <c r="K31" s="154">
        <f t="shared" si="20"/>
        <v>45854</v>
      </c>
      <c r="L31" s="154"/>
      <c r="M31" s="154">
        <f t="shared" si="21"/>
        <v>45882</v>
      </c>
      <c r="N31" s="154"/>
      <c r="O31" s="154">
        <f t="shared" si="22"/>
        <v>45882</v>
      </c>
      <c r="P31" s="154"/>
      <c r="Q31" s="154">
        <f t="shared" si="15"/>
        <v>45770</v>
      </c>
      <c r="R31" s="154"/>
      <c r="S31" s="154">
        <f t="shared" si="16"/>
        <v>45770</v>
      </c>
      <c r="T31" s="154"/>
      <c r="U31" s="133"/>
      <c r="V31" s="133"/>
      <c r="W31" s="133"/>
      <c r="X31" s="133"/>
      <c r="Y31" s="133"/>
      <c r="Z31" s="133"/>
      <c r="AA31" s="133"/>
      <c r="AB31" s="133"/>
      <c r="AC31" s="133"/>
      <c r="AD31" s="133"/>
      <c r="AE31" s="159"/>
      <c r="AF31" s="160"/>
      <c r="AG31" s="161"/>
      <c r="AH31" s="161"/>
      <c r="AI31" s="161"/>
      <c r="AJ31" s="161"/>
      <c r="AK31" s="161"/>
      <c r="AL31" s="161"/>
    </row>
    <row r="32" ht="15.75" customHeight="1">
      <c r="A32" s="196">
        <v>13.0</v>
      </c>
      <c r="B32" s="176" t="s">
        <v>185</v>
      </c>
      <c r="C32" s="156" t="s">
        <v>165</v>
      </c>
      <c r="D32" s="179">
        <v>10.0</v>
      </c>
      <c r="E32" s="154">
        <f t="shared" si="17"/>
        <v>45735</v>
      </c>
      <c r="F32" s="154"/>
      <c r="G32" s="154">
        <f t="shared" si="18"/>
        <v>45763</v>
      </c>
      <c r="H32" s="154"/>
      <c r="I32" s="154">
        <f t="shared" si="19"/>
        <v>45791</v>
      </c>
      <c r="J32" s="154"/>
      <c r="K32" s="154">
        <f t="shared" si="20"/>
        <v>45819</v>
      </c>
      <c r="L32" s="154"/>
      <c r="M32" s="154">
        <f t="shared" si="21"/>
        <v>45847</v>
      </c>
      <c r="N32" s="154"/>
      <c r="O32" s="154">
        <f t="shared" si="22"/>
        <v>45847</v>
      </c>
      <c r="P32" s="154"/>
      <c r="Q32" s="154">
        <f t="shared" si="15"/>
        <v>45735</v>
      </c>
      <c r="R32" s="154"/>
      <c r="S32" s="154">
        <f t="shared" si="16"/>
        <v>45735</v>
      </c>
      <c r="T32" s="154"/>
      <c r="U32" s="133"/>
      <c r="V32" s="133"/>
      <c r="W32" s="133"/>
      <c r="X32" s="133"/>
      <c r="Y32" s="133"/>
      <c r="Z32" s="133"/>
      <c r="AA32" s="133"/>
      <c r="AB32" s="133"/>
      <c r="AC32" s="133"/>
      <c r="AD32" s="133"/>
      <c r="AE32" s="159"/>
      <c r="AF32" s="175"/>
      <c r="AG32" s="175"/>
      <c r="AH32" s="175"/>
      <c r="AI32" s="175"/>
      <c r="AJ32" s="175"/>
      <c r="AK32" s="175"/>
      <c r="AL32" s="175"/>
    </row>
    <row r="33" ht="15.75" customHeight="1">
      <c r="A33" s="196">
        <v>14.0</v>
      </c>
      <c r="B33" s="165" t="s">
        <v>186</v>
      </c>
      <c r="C33" s="156" t="s">
        <v>165</v>
      </c>
      <c r="D33" s="128">
        <v>14.0</v>
      </c>
      <c r="E33" s="154">
        <f t="shared" si="17"/>
        <v>45763</v>
      </c>
      <c r="F33" s="154"/>
      <c r="G33" s="154">
        <f t="shared" si="18"/>
        <v>45791</v>
      </c>
      <c r="H33" s="154"/>
      <c r="I33" s="154">
        <f t="shared" si="19"/>
        <v>45819</v>
      </c>
      <c r="J33" s="154"/>
      <c r="K33" s="154">
        <f t="shared" si="20"/>
        <v>45847</v>
      </c>
      <c r="L33" s="154"/>
      <c r="M33" s="154">
        <f t="shared" si="21"/>
        <v>45875</v>
      </c>
      <c r="N33" s="154"/>
      <c r="O33" s="154">
        <f t="shared" si="22"/>
        <v>45875</v>
      </c>
      <c r="P33" s="154"/>
      <c r="Q33" s="154">
        <f t="shared" si="15"/>
        <v>45763</v>
      </c>
      <c r="R33" s="154"/>
      <c r="S33" s="154">
        <f t="shared" si="16"/>
        <v>45763</v>
      </c>
      <c r="T33" s="154"/>
      <c r="U33" s="133"/>
      <c r="V33" s="133"/>
      <c r="W33" s="133"/>
      <c r="X33" s="133"/>
      <c r="Y33" s="133"/>
      <c r="Z33" s="133"/>
      <c r="AA33" s="133"/>
      <c r="AB33" s="133"/>
      <c r="AC33" s="133"/>
      <c r="AD33" s="133"/>
      <c r="AE33" s="159"/>
      <c r="AF33" s="160"/>
      <c r="AG33" s="161"/>
      <c r="AH33" s="161"/>
      <c r="AI33" s="161"/>
      <c r="AJ33" s="161"/>
      <c r="AK33" s="161"/>
      <c r="AL33" s="161"/>
    </row>
    <row r="34" ht="15.75" customHeight="1">
      <c r="A34" s="196">
        <v>15.0</v>
      </c>
      <c r="B34" s="165" t="s">
        <v>187</v>
      </c>
      <c r="C34" s="156" t="s">
        <v>165</v>
      </c>
      <c r="D34" s="128">
        <v>14.0</v>
      </c>
      <c r="E34" s="154">
        <f t="shared" si="17"/>
        <v>45763</v>
      </c>
      <c r="F34" s="154"/>
      <c r="G34" s="154">
        <f t="shared" si="18"/>
        <v>45791</v>
      </c>
      <c r="H34" s="154"/>
      <c r="I34" s="154">
        <f t="shared" si="19"/>
        <v>45819</v>
      </c>
      <c r="J34" s="154"/>
      <c r="K34" s="154">
        <f t="shared" si="20"/>
        <v>45847</v>
      </c>
      <c r="L34" s="154"/>
      <c r="M34" s="154">
        <f t="shared" si="21"/>
        <v>45875</v>
      </c>
      <c r="N34" s="154"/>
      <c r="O34" s="154">
        <f t="shared" si="22"/>
        <v>45875</v>
      </c>
      <c r="P34" s="154"/>
      <c r="Q34" s="154">
        <f t="shared" si="15"/>
        <v>45763</v>
      </c>
      <c r="R34" s="154"/>
      <c r="S34" s="154">
        <f t="shared" si="16"/>
        <v>45763</v>
      </c>
      <c r="T34" s="154"/>
      <c r="U34" s="133"/>
      <c r="V34" s="133"/>
      <c r="W34" s="133"/>
      <c r="X34" s="133"/>
      <c r="Y34" s="133"/>
      <c r="Z34" s="133"/>
      <c r="AA34" s="133"/>
      <c r="AB34" s="133"/>
      <c r="AC34" s="133"/>
      <c r="AD34" s="133"/>
      <c r="AE34" s="159"/>
      <c r="AF34" s="160"/>
      <c r="AG34" s="161"/>
      <c r="AH34" s="161"/>
      <c r="AI34" s="161"/>
      <c r="AJ34" s="161"/>
      <c r="AK34" s="161"/>
      <c r="AL34" s="161"/>
    </row>
    <row r="35" ht="15.75" customHeight="1">
      <c r="A35" s="196">
        <v>16.0</v>
      </c>
      <c r="B35" s="165" t="s">
        <v>188</v>
      </c>
      <c r="C35" s="156" t="s">
        <v>165</v>
      </c>
      <c r="D35" s="128">
        <v>14.0</v>
      </c>
      <c r="E35" s="154">
        <f t="shared" si="17"/>
        <v>45763</v>
      </c>
      <c r="F35" s="154"/>
      <c r="G35" s="154">
        <f t="shared" si="18"/>
        <v>45791</v>
      </c>
      <c r="H35" s="154"/>
      <c r="I35" s="154">
        <f t="shared" si="19"/>
        <v>45819</v>
      </c>
      <c r="J35" s="154"/>
      <c r="K35" s="154">
        <f t="shared" si="20"/>
        <v>45847</v>
      </c>
      <c r="L35" s="154"/>
      <c r="M35" s="154">
        <f t="shared" si="21"/>
        <v>45875</v>
      </c>
      <c r="N35" s="154"/>
      <c r="O35" s="154">
        <f t="shared" si="22"/>
        <v>45875</v>
      </c>
      <c r="P35" s="154"/>
      <c r="Q35" s="154">
        <f t="shared" si="15"/>
        <v>45763</v>
      </c>
      <c r="R35" s="154"/>
      <c r="S35" s="154">
        <f t="shared" si="16"/>
        <v>45763</v>
      </c>
      <c r="T35" s="154"/>
      <c r="U35" s="133"/>
      <c r="V35" s="133"/>
      <c r="W35" s="133"/>
      <c r="X35" s="133"/>
      <c r="Y35" s="133"/>
      <c r="Z35" s="133"/>
      <c r="AA35" s="133"/>
      <c r="AB35" s="133"/>
      <c r="AC35" s="133"/>
      <c r="AD35" s="133"/>
      <c r="AE35" s="159"/>
      <c r="AF35" s="160"/>
      <c r="AG35" s="161"/>
      <c r="AH35" s="161"/>
      <c r="AI35" s="161"/>
      <c r="AJ35" s="161"/>
      <c r="AK35" s="161"/>
      <c r="AL35" s="161"/>
    </row>
    <row r="36" ht="15.75" customHeight="1">
      <c r="A36" s="196">
        <v>17.0</v>
      </c>
      <c r="B36" s="165" t="s">
        <v>189</v>
      </c>
      <c r="C36" s="156" t="s">
        <v>165</v>
      </c>
      <c r="D36" s="128">
        <v>15.0</v>
      </c>
      <c r="E36" s="154">
        <f t="shared" si="17"/>
        <v>45770</v>
      </c>
      <c r="F36" s="154"/>
      <c r="G36" s="154">
        <f t="shared" si="18"/>
        <v>45798</v>
      </c>
      <c r="H36" s="154"/>
      <c r="I36" s="154">
        <f t="shared" si="19"/>
        <v>45826</v>
      </c>
      <c r="J36" s="154"/>
      <c r="K36" s="154">
        <f t="shared" si="20"/>
        <v>45854</v>
      </c>
      <c r="L36" s="154"/>
      <c r="M36" s="154">
        <f t="shared" si="21"/>
        <v>45882</v>
      </c>
      <c r="N36" s="154"/>
      <c r="O36" s="154">
        <f t="shared" si="22"/>
        <v>45882</v>
      </c>
      <c r="P36" s="154"/>
      <c r="Q36" s="154">
        <f t="shared" si="15"/>
        <v>45770</v>
      </c>
      <c r="R36" s="154"/>
      <c r="S36" s="154">
        <f t="shared" si="16"/>
        <v>45770</v>
      </c>
      <c r="T36" s="154"/>
      <c r="U36" s="133"/>
      <c r="V36" s="133"/>
      <c r="W36" s="133"/>
      <c r="X36" s="133"/>
      <c r="Y36" s="133"/>
      <c r="Z36" s="133"/>
      <c r="AA36" s="133"/>
      <c r="AB36" s="133"/>
      <c r="AC36" s="133"/>
      <c r="AD36" s="133"/>
      <c r="AE36" s="159"/>
      <c r="AF36" s="160"/>
      <c r="AG36" s="161"/>
      <c r="AH36" s="161"/>
      <c r="AI36" s="161"/>
      <c r="AJ36" s="161"/>
      <c r="AK36" s="161"/>
      <c r="AL36" s="161"/>
    </row>
    <row r="37" ht="15.75" customHeight="1">
      <c r="A37" s="196">
        <v>18.0</v>
      </c>
      <c r="B37" s="165" t="s">
        <v>190</v>
      </c>
      <c r="C37" s="156" t="s">
        <v>165</v>
      </c>
      <c r="D37" s="128">
        <v>16.0</v>
      </c>
      <c r="E37" s="154">
        <f t="shared" si="17"/>
        <v>45777</v>
      </c>
      <c r="F37" s="154"/>
      <c r="G37" s="154">
        <f t="shared" si="18"/>
        <v>45805</v>
      </c>
      <c r="H37" s="154"/>
      <c r="I37" s="154">
        <f t="shared" si="19"/>
        <v>45833</v>
      </c>
      <c r="J37" s="154"/>
      <c r="K37" s="154">
        <f t="shared" si="20"/>
        <v>45861</v>
      </c>
      <c r="L37" s="154"/>
      <c r="M37" s="154">
        <f t="shared" si="21"/>
        <v>45889</v>
      </c>
      <c r="N37" s="154"/>
      <c r="O37" s="154">
        <f t="shared" si="22"/>
        <v>45889</v>
      </c>
      <c r="P37" s="154"/>
      <c r="Q37" s="154">
        <f t="shared" si="15"/>
        <v>45777</v>
      </c>
      <c r="R37" s="154"/>
      <c r="S37" s="154">
        <f t="shared" si="16"/>
        <v>45777</v>
      </c>
      <c r="T37" s="154"/>
      <c r="U37" s="133"/>
      <c r="V37" s="133"/>
      <c r="W37" s="133"/>
      <c r="X37" s="133"/>
      <c r="Y37" s="133"/>
      <c r="Z37" s="133"/>
      <c r="AA37" s="133"/>
      <c r="AB37" s="133"/>
      <c r="AC37" s="133"/>
      <c r="AD37" s="133"/>
      <c r="AE37" s="159"/>
      <c r="AF37" s="160"/>
      <c r="AG37" s="161"/>
      <c r="AH37" s="161"/>
      <c r="AI37" s="161"/>
      <c r="AJ37" s="161"/>
      <c r="AK37" s="161"/>
      <c r="AL37" s="161"/>
    </row>
    <row r="38" ht="15.75" customHeight="1">
      <c r="A38" s="196">
        <v>19.0</v>
      </c>
      <c r="B38" s="165" t="s">
        <v>191</v>
      </c>
      <c r="C38" s="156" t="s">
        <v>165</v>
      </c>
      <c r="D38" s="128">
        <v>17.0</v>
      </c>
      <c r="E38" s="154">
        <f t="shared" si="17"/>
        <v>45784</v>
      </c>
      <c r="F38" s="154"/>
      <c r="G38" s="154">
        <f t="shared" si="18"/>
        <v>45812</v>
      </c>
      <c r="H38" s="154"/>
      <c r="I38" s="154">
        <f t="shared" si="19"/>
        <v>45840</v>
      </c>
      <c r="J38" s="154"/>
      <c r="K38" s="154">
        <f t="shared" si="20"/>
        <v>45868</v>
      </c>
      <c r="L38" s="154"/>
      <c r="M38" s="154">
        <f t="shared" si="21"/>
        <v>45896</v>
      </c>
      <c r="N38" s="154"/>
      <c r="O38" s="154">
        <f t="shared" si="22"/>
        <v>45896</v>
      </c>
      <c r="P38" s="154"/>
      <c r="Q38" s="154">
        <f t="shared" si="15"/>
        <v>45784</v>
      </c>
      <c r="R38" s="154"/>
      <c r="S38" s="154">
        <f t="shared" si="16"/>
        <v>45784</v>
      </c>
      <c r="T38" s="154"/>
      <c r="U38" s="133"/>
      <c r="V38" s="133"/>
      <c r="W38" s="133"/>
      <c r="X38" s="133"/>
      <c r="Y38" s="133"/>
      <c r="Z38" s="133"/>
      <c r="AA38" s="133"/>
      <c r="AB38" s="133"/>
      <c r="AC38" s="133"/>
      <c r="AD38" s="133"/>
      <c r="AE38" s="159"/>
      <c r="AF38" s="160"/>
      <c r="AG38" s="161"/>
      <c r="AH38" s="161"/>
      <c r="AI38" s="161"/>
      <c r="AJ38" s="161"/>
      <c r="AK38" s="161"/>
      <c r="AL38" s="161"/>
    </row>
    <row r="39" ht="15.75" customHeight="1">
      <c r="A39" s="196">
        <v>20.0</v>
      </c>
      <c r="B39" s="165" t="s">
        <v>192</v>
      </c>
      <c r="C39" s="156" t="s">
        <v>165</v>
      </c>
      <c r="D39" s="128">
        <v>18.0</v>
      </c>
      <c r="E39" s="154">
        <f t="shared" si="17"/>
        <v>45791</v>
      </c>
      <c r="F39" s="154"/>
      <c r="G39" s="154">
        <f t="shared" si="18"/>
        <v>45819</v>
      </c>
      <c r="H39" s="154"/>
      <c r="I39" s="154">
        <f t="shared" si="19"/>
        <v>45847</v>
      </c>
      <c r="J39" s="154"/>
      <c r="K39" s="154">
        <f t="shared" si="20"/>
        <v>45875</v>
      </c>
      <c r="L39" s="154"/>
      <c r="M39" s="154">
        <f t="shared" si="21"/>
        <v>45903</v>
      </c>
      <c r="N39" s="154"/>
      <c r="O39" s="154">
        <f t="shared" si="22"/>
        <v>45903</v>
      </c>
      <c r="P39" s="154"/>
      <c r="Q39" s="154">
        <f t="shared" si="15"/>
        <v>45791</v>
      </c>
      <c r="R39" s="154"/>
      <c r="S39" s="154">
        <f t="shared" si="16"/>
        <v>45791</v>
      </c>
      <c r="T39" s="154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59"/>
      <c r="AF39" s="160"/>
      <c r="AG39" s="161"/>
      <c r="AH39" s="161"/>
      <c r="AI39" s="161"/>
      <c r="AJ39" s="161"/>
      <c r="AK39" s="161"/>
      <c r="AL39" s="161"/>
    </row>
    <row r="40" ht="15.75" customHeight="1">
      <c r="A40" s="196">
        <v>21.0</v>
      </c>
      <c r="B40" s="165" t="s">
        <v>193</v>
      </c>
      <c r="C40" s="156" t="s">
        <v>165</v>
      </c>
      <c r="D40" s="128">
        <v>5.0</v>
      </c>
      <c r="E40" s="154">
        <f t="shared" si="17"/>
        <v>45700</v>
      </c>
      <c r="F40" s="132"/>
      <c r="G40" s="154">
        <f t="shared" si="18"/>
        <v>45728</v>
      </c>
      <c r="H40" s="154"/>
      <c r="I40" s="154">
        <f>$I$18+(H40*7)</f>
        <v>45721</v>
      </c>
      <c r="J40" s="154"/>
      <c r="K40" s="154">
        <f>$K$18+(J40*7)</f>
        <v>45749</v>
      </c>
      <c r="L40" s="154"/>
      <c r="M40" s="154">
        <f>$M$18+(L40*7)</f>
        <v>45777</v>
      </c>
      <c r="N40" s="154"/>
      <c r="O40" s="154">
        <f>$M$18+(N40*7)</f>
        <v>45777</v>
      </c>
      <c r="P40" s="154"/>
      <c r="Q40" s="154">
        <f t="shared" si="15"/>
        <v>45700</v>
      </c>
      <c r="R40" s="154"/>
      <c r="S40" s="154">
        <f t="shared" si="16"/>
        <v>45700</v>
      </c>
      <c r="T40" s="154"/>
      <c r="U40" s="133"/>
      <c r="V40" s="133"/>
      <c r="W40" s="133"/>
      <c r="X40" s="133"/>
      <c r="Y40" s="133"/>
      <c r="Z40" s="133"/>
      <c r="AA40" s="133"/>
      <c r="AB40" s="133"/>
      <c r="AC40" s="133"/>
      <c r="AD40" s="133"/>
      <c r="AE40" s="159"/>
      <c r="AF40" s="160"/>
      <c r="AG40" s="161"/>
      <c r="AH40" s="161"/>
      <c r="AI40" s="161"/>
      <c r="AJ40" s="161"/>
      <c r="AK40" s="161"/>
      <c r="AL40" s="161"/>
    </row>
    <row r="41" ht="15.75" customHeight="1">
      <c r="A41" s="196">
        <v>22.0</v>
      </c>
      <c r="B41" s="130" t="s">
        <v>194</v>
      </c>
      <c r="C41" s="130" t="s">
        <v>195</v>
      </c>
      <c r="D41" s="131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3"/>
      <c r="V41" s="133"/>
      <c r="W41" s="133"/>
      <c r="X41" s="133"/>
      <c r="Y41" s="133"/>
      <c r="Z41" s="133"/>
      <c r="AA41" s="133"/>
      <c r="AB41" s="133"/>
      <c r="AC41" s="133"/>
      <c r="AD41" s="133"/>
      <c r="AE41" s="134"/>
      <c r="AF41" s="135"/>
      <c r="AG41" s="125"/>
      <c r="AH41" s="125"/>
      <c r="AI41" s="125"/>
      <c r="AJ41" s="125"/>
      <c r="AK41" s="125"/>
      <c r="AL41" s="125"/>
    </row>
    <row r="42" ht="15.75" customHeight="1">
      <c r="A42" s="180" t="s">
        <v>196</v>
      </c>
      <c r="B42" s="139" t="s">
        <v>197</v>
      </c>
      <c r="C42" s="139"/>
      <c r="D42" s="139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41"/>
      <c r="V42" s="141"/>
      <c r="W42" s="166"/>
      <c r="X42" s="166"/>
      <c r="Y42" s="141"/>
      <c r="Z42" s="141"/>
      <c r="AA42" s="141"/>
      <c r="AB42" s="141"/>
      <c r="AC42" s="141"/>
      <c r="AD42" s="141"/>
      <c r="AE42" s="142"/>
      <c r="AF42" s="135"/>
      <c r="AG42" s="125"/>
      <c r="AH42" s="125"/>
      <c r="AI42" s="125"/>
      <c r="AJ42" s="125"/>
      <c r="AK42" s="125"/>
      <c r="AL42" s="125"/>
    </row>
    <row r="43" ht="15.75" customHeight="1">
      <c r="A43" s="155">
        <v>1.1</v>
      </c>
      <c r="B43" s="181" t="s">
        <v>198</v>
      </c>
      <c r="C43" s="156" t="s">
        <v>163</v>
      </c>
      <c r="D43" s="128"/>
      <c r="E43" s="154"/>
      <c r="F43" s="154"/>
      <c r="G43" s="150"/>
      <c r="H43" s="154"/>
      <c r="I43" s="154"/>
      <c r="J43" s="154"/>
      <c r="K43" s="154"/>
      <c r="L43" s="154"/>
      <c r="M43" s="154"/>
      <c r="N43" s="154"/>
      <c r="O43" s="154"/>
      <c r="P43" s="154"/>
      <c r="Q43" s="154"/>
      <c r="R43" s="154"/>
      <c r="S43" s="154"/>
      <c r="T43" s="154"/>
      <c r="U43" s="133"/>
      <c r="V43" s="133"/>
      <c r="W43" s="183"/>
      <c r="X43" s="133"/>
      <c r="Y43" s="133"/>
      <c r="Z43" s="133"/>
      <c r="AA43" s="133"/>
      <c r="AB43" s="133"/>
      <c r="AC43" s="133"/>
      <c r="AD43" s="133"/>
      <c r="AE43" s="159"/>
      <c r="AF43" s="160"/>
      <c r="AG43" s="161"/>
      <c r="AH43" s="161"/>
      <c r="AI43" s="161"/>
      <c r="AJ43" s="161"/>
      <c r="AK43" s="161"/>
      <c r="AL43" s="161"/>
    </row>
    <row r="44" ht="15.75" customHeight="1">
      <c r="A44" s="155">
        <v>1.2</v>
      </c>
      <c r="B44" s="54"/>
      <c r="C44" s="156" t="s">
        <v>164</v>
      </c>
      <c r="D44" s="128"/>
      <c r="E44" s="154"/>
      <c r="F44" s="154"/>
      <c r="G44" s="154"/>
      <c r="H44" s="154"/>
      <c r="I44" s="154"/>
      <c r="J44" s="154"/>
      <c r="K44" s="154"/>
      <c r="L44" s="154"/>
      <c r="M44" s="154"/>
      <c r="N44" s="154"/>
      <c r="O44" s="154"/>
      <c r="P44" s="154"/>
      <c r="Q44" s="154"/>
      <c r="R44" s="154"/>
      <c r="S44" s="154"/>
      <c r="T44" s="154"/>
      <c r="U44" s="133"/>
      <c r="V44" s="133"/>
      <c r="W44" s="133"/>
      <c r="X44" s="133"/>
      <c r="Y44" s="133"/>
      <c r="Z44" s="133"/>
      <c r="AA44" s="133"/>
      <c r="AB44" s="133"/>
      <c r="AC44" s="133"/>
      <c r="AD44" s="133"/>
      <c r="AE44" s="159"/>
      <c r="AF44" s="160"/>
      <c r="AG44" s="161"/>
      <c r="AH44" s="161"/>
      <c r="AI44" s="161"/>
      <c r="AJ44" s="161"/>
      <c r="AK44" s="161"/>
      <c r="AL44" s="161"/>
    </row>
    <row r="45" ht="15.75" customHeight="1">
      <c r="A45" s="155">
        <v>1.3</v>
      </c>
      <c r="B45" s="59"/>
      <c r="C45" s="156" t="s">
        <v>165</v>
      </c>
      <c r="D45" s="128"/>
      <c r="E45" s="154"/>
      <c r="F45" s="154"/>
      <c r="G45" s="154"/>
      <c r="H45" s="154"/>
      <c r="I45" s="154"/>
      <c r="J45" s="154"/>
      <c r="K45" s="154"/>
      <c r="L45" s="154"/>
      <c r="M45" s="154"/>
      <c r="N45" s="154"/>
      <c r="O45" s="154"/>
      <c r="P45" s="154"/>
      <c r="Q45" s="154"/>
      <c r="R45" s="154"/>
      <c r="S45" s="154"/>
      <c r="T45" s="154"/>
      <c r="U45" s="133"/>
      <c r="V45" s="133"/>
      <c r="W45" s="133"/>
      <c r="X45" s="133"/>
      <c r="Y45" s="133"/>
      <c r="Z45" s="133"/>
      <c r="AA45" s="133"/>
      <c r="AB45" s="133"/>
      <c r="AC45" s="133"/>
      <c r="AD45" s="133"/>
      <c r="AE45" s="159"/>
      <c r="AF45" s="160"/>
      <c r="AG45" s="161"/>
      <c r="AH45" s="161"/>
      <c r="AI45" s="161"/>
      <c r="AJ45" s="161"/>
      <c r="AK45" s="161"/>
      <c r="AL45" s="161"/>
    </row>
    <row r="46" ht="15.75" customHeight="1">
      <c r="A46" s="155">
        <v>2.1</v>
      </c>
      <c r="B46" s="181" t="s">
        <v>199</v>
      </c>
      <c r="C46" s="156" t="s">
        <v>163</v>
      </c>
      <c r="D46" s="128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54"/>
      <c r="Q46" s="154"/>
      <c r="R46" s="154"/>
      <c r="S46" s="154"/>
      <c r="T46" s="154"/>
      <c r="U46" s="133"/>
      <c r="V46" s="133"/>
      <c r="W46" s="133"/>
      <c r="X46" s="133"/>
      <c r="Y46" s="133"/>
      <c r="Z46" s="133"/>
      <c r="AA46" s="133"/>
      <c r="AB46" s="133"/>
      <c r="AC46" s="133"/>
      <c r="AD46" s="133"/>
      <c r="AE46" s="159"/>
      <c r="AF46" s="160"/>
      <c r="AG46" s="161"/>
      <c r="AH46" s="161"/>
      <c r="AI46" s="161"/>
      <c r="AJ46" s="161"/>
      <c r="AK46" s="161"/>
      <c r="AL46" s="161"/>
    </row>
    <row r="47" ht="15.75" customHeight="1">
      <c r="A47" s="155">
        <f t="shared" ref="A47:A48" si="23">+A46+0.1</f>
        <v>2.2</v>
      </c>
      <c r="B47" s="54"/>
      <c r="C47" s="156" t="s">
        <v>164</v>
      </c>
      <c r="D47" s="128"/>
      <c r="E47" s="154"/>
      <c r="F47" s="154"/>
      <c r="G47" s="154"/>
      <c r="H47" s="154"/>
      <c r="I47" s="154"/>
      <c r="J47" s="154"/>
      <c r="K47" s="154"/>
      <c r="L47" s="154"/>
      <c r="M47" s="154"/>
      <c r="N47" s="154"/>
      <c r="O47" s="154"/>
      <c r="P47" s="154"/>
      <c r="Q47" s="154"/>
      <c r="R47" s="154"/>
      <c r="S47" s="154"/>
      <c r="T47" s="154"/>
      <c r="U47" s="133"/>
      <c r="V47" s="133"/>
      <c r="W47" s="133"/>
      <c r="X47" s="133"/>
      <c r="Y47" s="133"/>
      <c r="Z47" s="133"/>
      <c r="AA47" s="133"/>
      <c r="AB47" s="133"/>
      <c r="AC47" s="133"/>
      <c r="AD47" s="133"/>
      <c r="AE47" s="159"/>
      <c r="AF47" s="160"/>
      <c r="AG47" s="161"/>
      <c r="AH47" s="161"/>
      <c r="AI47" s="161"/>
      <c r="AJ47" s="161"/>
      <c r="AK47" s="161"/>
      <c r="AL47" s="161"/>
    </row>
    <row r="48" ht="15.75" customHeight="1">
      <c r="A48" s="155">
        <f t="shared" si="23"/>
        <v>2.3</v>
      </c>
      <c r="B48" s="59"/>
      <c r="C48" s="156" t="s">
        <v>165</v>
      </c>
      <c r="D48" s="128"/>
      <c r="E48" s="154"/>
      <c r="F48" s="154"/>
      <c r="G48" s="154"/>
      <c r="H48" s="154"/>
      <c r="I48" s="154"/>
      <c r="J48" s="154"/>
      <c r="K48" s="154"/>
      <c r="L48" s="154"/>
      <c r="M48" s="154"/>
      <c r="N48" s="154"/>
      <c r="O48" s="154"/>
      <c r="P48" s="154"/>
      <c r="Q48" s="154"/>
      <c r="R48" s="154"/>
      <c r="S48" s="154"/>
      <c r="T48" s="154"/>
      <c r="U48" s="133"/>
      <c r="V48" s="133"/>
      <c r="W48" s="133"/>
      <c r="X48" s="133"/>
      <c r="Y48" s="133"/>
      <c r="Z48" s="133"/>
      <c r="AA48" s="133"/>
      <c r="AB48" s="133"/>
      <c r="AC48" s="133"/>
      <c r="AD48" s="133"/>
      <c r="AE48" s="159"/>
      <c r="AF48" s="160"/>
      <c r="AG48" s="161"/>
      <c r="AH48" s="161"/>
      <c r="AI48" s="161"/>
      <c r="AJ48" s="161"/>
      <c r="AK48" s="161"/>
      <c r="AL48" s="161"/>
    </row>
    <row r="49" ht="15.75" customHeight="1">
      <c r="A49" s="155">
        <v>3.1</v>
      </c>
      <c r="B49" s="181" t="s">
        <v>200</v>
      </c>
      <c r="C49" s="156" t="s">
        <v>163</v>
      </c>
      <c r="D49" s="128"/>
      <c r="E49" s="154"/>
      <c r="F49" s="154"/>
      <c r="G49" s="150"/>
      <c r="H49" s="154"/>
      <c r="I49" s="150"/>
      <c r="J49" s="154"/>
      <c r="K49" s="150"/>
      <c r="L49" s="154"/>
      <c r="M49" s="150"/>
      <c r="N49" s="154"/>
      <c r="O49" s="154"/>
      <c r="P49" s="154"/>
      <c r="Q49" s="154"/>
      <c r="R49" s="154"/>
      <c r="S49" s="154"/>
      <c r="T49" s="154"/>
      <c r="U49" s="133"/>
      <c r="V49" s="133"/>
      <c r="W49" s="183"/>
      <c r="X49" s="133"/>
      <c r="Y49" s="183"/>
      <c r="Z49" s="133"/>
      <c r="AA49" s="183"/>
      <c r="AB49" s="133"/>
      <c r="AC49" s="183"/>
      <c r="AD49" s="133"/>
      <c r="AE49" s="159"/>
      <c r="AF49" s="160"/>
      <c r="AG49" s="161"/>
      <c r="AH49" s="161"/>
      <c r="AI49" s="161"/>
      <c r="AJ49" s="161"/>
      <c r="AK49" s="161"/>
      <c r="AL49" s="161"/>
    </row>
    <row r="50" ht="15.75" customHeight="1">
      <c r="A50" s="155">
        <f t="shared" ref="A50:A51" si="24">+A49+0.1</f>
        <v>3.2</v>
      </c>
      <c r="B50" s="54"/>
      <c r="C50" s="156" t="s">
        <v>164</v>
      </c>
      <c r="D50" s="128"/>
      <c r="E50" s="154"/>
      <c r="F50" s="154"/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4"/>
      <c r="S50" s="154"/>
      <c r="T50" s="154"/>
      <c r="U50" s="133"/>
      <c r="V50" s="133"/>
      <c r="W50" s="133"/>
      <c r="X50" s="133"/>
      <c r="Y50" s="133"/>
      <c r="Z50" s="133"/>
      <c r="AA50" s="133"/>
      <c r="AB50" s="133"/>
      <c r="AC50" s="133"/>
      <c r="AD50" s="133"/>
      <c r="AE50" s="159"/>
      <c r="AF50" s="160"/>
      <c r="AG50" s="161"/>
      <c r="AH50" s="161"/>
      <c r="AI50" s="161"/>
      <c r="AJ50" s="161"/>
      <c r="AK50" s="161"/>
      <c r="AL50" s="161"/>
    </row>
    <row r="51" ht="15.75" customHeight="1">
      <c r="A51" s="155">
        <f t="shared" si="24"/>
        <v>3.3</v>
      </c>
      <c r="B51" s="59"/>
      <c r="C51" s="156" t="s">
        <v>165</v>
      </c>
      <c r="D51" s="128"/>
      <c r="E51" s="154"/>
      <c r="F51" s="154"/>
      <c r="G51" s="154"/>
      <c r="H51" s="154"/>
      <c r="I51" s="154"/>
      <c r="J51" s="154"/>
      <c r="K51" s="154"/>
      <c r="L51" s="154"/>
      <c r="M51" s="154"/>
      <c r="N51" s="154"/>
      <c r="O51" s="154"/>
      <c r="P51" s="154"/>
      <c r="Q51" s="154"/>
      <c r="R51" s="154"/>
      <c r="S51" s="154"/>
      <c r="T51" s="154"/>
      <c r="U51" s="133"/>
      <c r="V51" s="133"/>
      <c r="W51" s="133"/>
      <c r="X51" s="133"/>
      <c r="Y51" s="133"/>
      <c r="Z51" s="133"/>
      <c r="AA51" s="133"/>
      <c r="AB51" s="133"/>
      <c r="AC51" s="133"/>
      <c r="AD51" s="133"/>
      <c r="AE51" s="159"/>
      <c r="AF51" s="160"/>
      <c r="AG51" s="161"/>
      <c r="AH51" s="161"/>
      <c r="AI51" s="161"/>
      <c r="AJ51" s="161"/>
      <c r="AK51" s="161"/>
      <c r="AL51" s="161"/>
    </row>
    <row r="52" ht="15.75" customHeight="1">
      <c r="A52" s="155">
        <f>+A49+1</f>
        <v>4.1</v>
      </c>
      <c r="B52" s="181" t="s">
        <v>201</v>
      </c>
      <c r="C52" s="156" t="s">
        <v>163</v>
      </c>
      <c r="D52" s="128"/>
      <c r="E52" s="154"/>
      <c r="F52" s="154"/>
      <c r="G52" s="154"/>
      <c r="H52" s="154"/>
      <c r="I52" s="154"/>
      <c r="J52" s="154"/>
      <c r="K52" s="154"/>
      <c r="L52" s="154"/>
      <c r="M52" s="154"/>
      <c r="N52" s="154"/>
      <c r="O52" s="154"/>
      <c r="P52" s="154"/>
      <c r="Q52" s="154"/>
      <c r="R52" s="154"/>
      <c r="S52" s="154"/>
      <c r="T52" s="154"/>
      <c r="U52" s="133"/>
      <c r="V52" s="133"/>
      <c r="W52" s="133"/>
      <c r="X52" s="133"/>
      <c r="Y52" s="133"/>
      <c r="Z52" s="133"/>
      <c r="AA52" s="133"/>
      <c r="AB52" s="133"/>
      <c r="AC52" s="133"/>
      <c r="AD52" s="133"/>
      <c r="AE52" s="159"/>
      <c r="AF52" s="160"/>
      <c r="AG52" s="161"/>
      <c r="AH52" s="161"/>
      <c r="AI52" s="161"/>
      <c r="AJ52" s="161"/>
      <c r="AK52" s="161"/>
      <c r="AL52" s="161"/>
    </row>
    <row r="53" ht="15.75" customHeight="1">
      <c r="A53" s="155">
        <f t="shared" ref="A53:A54" si="25">+A52+0.1</f>
        <v>4.2</v>
      </c>
      <c r="B53" s="54"/>
      <c r="C53" s="156" t="s">
        <v>164</v>
      </c>
      <c r="D53" s="128"/>
      <c r="E53" s="154"/>
      <c r="F53" s="154"/>
      <c r="G53" s="154"/>
      <c r="H53" s="154"/>
      <c r="I53" s="154"/>
      <c r="J53" s="154"/>
      <c r="K53" s="154"/>
      <c r="L53" s="154"/>
      <c r="M53" s="154"/>
      <c r="N53" s="154"/>
      <c r="O53" s="154"/>
      <c r="P53" s="154"/>
      <c r="Q53" s="154"/>
      <c r="R53" s="154"/>
      <c r="S53" s="154"/>
      <c r="T53" s="154"/>
      <c r="U53" s="133"/>
      <c r="V53" s="133"/>
      <c r="W53" s="133"/>
      <c r="X53" s="133"/>
      <c r="Y53" s="133"/>
      <c r="Z53" s="133"/>
      <c r="AA53" s="133"/>
      <c r="AB53" s="133"/>
      <c r="AC53" s="133"/>
      <c r="AD53" s="133"/>
      <c r="AE53" s="159"/>
      <c r="AF53" s="160"/>
      <c r="AG53" s="161"/>
      <c r="AH53" s="161"/>
      <c r="AI53" s="161"/>
      <c r="AJ53" s="161"/>
      <c r="AK53" s="161"/>
      <c r="AL53" s="161"/>
    </row>
    <row r="54" ht="15.75" customHeight="1">
      <c r="A54" s="155">
        <f t="shared" si="25"/>
        <v>4.3</v>
      </c>
      <c r="B54" s="59"/>
      <c r="C54" s="156" t="s">
        <v>165</v>
      </c>
      <c r="D54" s="128"/>
      <c r="E54" s="154"/>
      <c r="F54" s="154"/>
      <c r="G54" s="154"/>
      <c r="H54" s="154"/>
      <c r="I54" s="154"/>
      <c r="J54" s="154"/>
      <c r="K54" s="154"/>
      <c r="L54" s="154"/>
      <c r="M54" s="154"/>
      <c r="N54" s="154"/>
      <c r="O54" s="154"/>
      <c r="P54" s="154"/>
      <c r="Q54" s="154"/>
      <c r="R54" s="154"/>
      <c r="S54" s="154"/>
      <c r="T54" s="154"/>
      <c r="U54" s="133"/>
      <c r="V54" s="133"/>
      <c r="W54" s="133"/>
      <c r="X54" s="133"/>
      <c r="Y54" s="133"/>
      <c r="Z54" s="133"/>
      <c r="AA54" s="133"/>
      <c r="AB54" s="133"/>
      <c r="AC54" s="133"/>
      <c r="AD54" s="133"/>
      <c r="AE54" s="159"/>
      <c r="AF54" s="160"/>
      <c r="AG54" s="161"/>
      <c r="AH54" s="161"/>
      <c r="AI54" s="161"/>
      <c r="AJ54" s="161"/>
      <c r="AK54" s="161"/>
      <c r="AL54" s="161"/>
    </row>
    <row r="55" ht="15.75" customHeight="1">
      <c r="A55" s="155">
        <f>+A52+1</f>
        <v>5.1</v>
      </c>
      <c r="B55" s="181" t="s">
        <v>202</v>
      </c>
      <c r="C55" s="156" t="s">
        <v>163</v>
      </c>
      <c r="D55" s="128"/>
      <c r="E55" s="154"/>
      <c r="F55" s="154"/>
      <c r="G55" s="154"/>
      <c r="H55" s="154"/>
      <c r="I55" s="154"/>
      <c r="J55" s="154"/>
      <c r="K55" s="154"/>
      <c r="L55" s="154"/>
      <c r="M55" s="154"/>
      <c r="N55" s="154"/>
      <c r="O55" s="154"/>
      <c r="P55" s="154"/>
      <c r="Q55" s="154"/>
      <c r="R55" s="154"/>
      <c r="S55" s="154"/>
      <c r="T55" s="154"/>
      <c r="U55" s="133"/>
      <c r="V55" s="133"/>
      <c r="W55" s="133"/>
      <c r="X55" s="133"/>
      <c r="Y55" s="133"/>
      <c r="Z55" s="133"/>
      <c r="AA55" s="133"/>
      <c r="AB55" s="133"/>
      <c r="AC55" s="133"/>
      <c r="AD55" s="133"/>
      <c r="AE55" s="159"/>
      <c r="AF55" s="160"/>
      <c r="AG55" s="161"/>
      <c r="AH55" s="161"/>
      <c r="AI55" s="161"/>
      <c r="AJ55" s="161"/>
      <c r="AK55" s="161"/>
      <c r="AL55" s="161"/>
    </row>
    <row r="56" ht="15.75" customHeight="1">
      <c r="A56" s="155">
        <f t="shared" ref="A56:A57" si="26">+A55+0.1</f>
        <v>5.2</v>
      </c>
      <c r="B56" s="54"/>
      <c r="C56" s="156" t="s">
        <v>164</v>
      </c>
      <c r="D56" s="128"/>
      <c r="E56" s="154"/>
      <c r="F56" s="154"/>
      <c r="G56" s="154"/>
      <c r="H56" s="154"/>
      <c r="I56" s="154"/>
      <c r="J56" s="154"/>
      <c r="K56" s="154"/>
      <c r="L56" s="154"/>
      <c r="M56" s="154"/>
      <c r="N56" s="154"/>
      <c r="O56" s="154"/>
      <c r="P56" s="154"/>
      <c r="Q56" s="154"/>
      <c r="R56" s="154"/>
      <c r="S56" s="154"/>
      <c r="T56" s="154"/>
      <c r="U56" s="133"/>
      <c r="V56" s="133"/>
      <c r="W56" s="133"/>
      <c r="X56" s="133"/>
      <c r="Y56" s="133"/>
      <c r="Z56" s="133"/>
      <c r="AA56" s="133"/>
      <c r="AB56" s="133"/>
      <c r="AC56" s="133"/>
      <c r="AD56" s="133"/>
      <c r="AE56" s="159"/>
      <c r="AF56" s="160"/>
      <c r="AG56" s="161"/>
      <c r="AH56" s="161"/>
      <c r="AI56" s="161"/>
      <c r="AJ56" s="161"/>
      <c r="AK56" s="161"/>
      <c r="AL56" s="161"/>
    </row>
    <row r="57" ht="15.75" customHeight="1">
      <c r="A57" s="155">
        <f t="shared" si="26"/>
        <v>5.3</v>
      </c>
      <c r="B57" s="59"/>
      <c r="C57" s="156" t="s">
        <v>165</v>
      </c>
      <c r="D57" s="128"/>
      <c r="E57" s="154"/>
      <c r="F57" s="154"/>
      <c r="G57" s="154"/>
      <c r="H57" s="154"/>
      <c r="I57" s="154"/>
      <c r="J57" s="154"/>
      <c r="K57" s="154"/>
      <c r="L57" s="154"/>
      <c r="M57" s="154"/>
      <c r="N57" s="154"/>
      <c r="O57" s="154"/>
      <c r="P57" s="154"/>
      <c r="Q57" s="154"/>
      <c r="R57" s="154"/>
      <c r="S57" s="154"/>
      <c r="T57" s="154"/>
      <c r="U57" s="133"/>
      <c r="V57" s="133"/>
      <c r="W57" s="133"/>
      <c r="X57" s="133"/>
      <c r="Y57" s="133"/>
      <c r="Z57" s="133"/>
      <c r="AA57" s="133"/>
      <c r="AB57" s="133"/>
      <c r="AC57" s="133"/>
      <c r="AD57" s="133"/>
      <c r="AE57" s="159"/>
      <c r="AF57" s="160"/>
      <c r="AG57" s="161"/>
      <c r="AH57" s="161"/>
      <c r="AI57" s="161"/>
      <c r="AJ57" s="161"/>
      <c r="AK57" s="161"/>
      <c r="AL57" s="161"/>
    </row>
    <row r="58" ht="15.75" customHeight="1">
      <c r="A58" s="155">
        <f>+A55+1</f>
        <v>6.1</v>
      </c>
      <c r="B58" s="181" t="s">
        <v>203</v>
      </c>
      <c r="C58" s="156" t="s">
        <v>163</v>
      </c>
      <c r="D58" s="128"/>
      <c r="E58" s="154"/>
      <c r="F58" s="154"/>
      <c r="G58" s="154"/>
      <c r="H58" s="154"/>
      <c r="I58" s="154"/>
      <c r="J58" s="154"/>
      <c r="K58" s="154"/>
      <c r="L58" s="154"/>
      <c r="M58" s="154"/>
      <c r="N58" s="154"/>
      <c r="O58" s="154"/>
      <c r="P58" s="154"/>
      <c r="Q58" s="154"/>
      <c r="R58" s="154"/>
      <c r="S58" s="154"/>
      <c r="T58" s="154"/>
      <c r="U58" s="133"/>
      <c r="V58" s="133"/>
      <c r="W58" s="133"/>
      <c r="X58" s="133"/>
      <c r="Y58" s="133"/>
      <c r="Z58" s="133"/>
      <c r="AA58" s="133"/>
      <c r="AB58" s="133"/>
      <c r="AC58" s="133"/>
      <c r="AD58" s="133"/>
      <c r="AE58" s="159"/>
      <c r="AF58" s="160"/>
      <c r="AG58" s="161"/>
      <c r="AH58" s="161"/>
      <c r="AI58" s="161"/>
      <c r="AJ58" s="161"/>
      <c r="AK58" s="161"/>
      <c r="AL58" s="161"/>
    </row>
    <row r="59" ht="15.75" customHeight="1">
      <c r="A59" s="155">
        <f t="shared" ref="A59:A60" si="27">+A58+0.1</f>
        <v>6.2</v>
      </c>
      <c r="B59" s="54"/>
      <c r="C59" s="156" t="s">
        <v>164</v>
      </c>
      <c r="D59" s="128"/>
      <c r="E59" s="154"/>
      <c r="F59" s="154"/>
      <c r="G59" s="154"/>
      <c r="H59" s="154"/>
      <c r="I59" s="154"/>
      <c r="J59" s="154"/>
      <c r="K59" s="154"/>
      <c r="L59" s="154"/>
      <c r="M59" s="154"/>
      <c r="N59" s="154"/>
      <c r="O59" s="154"/>
      <c r="P59" s="154"/>
      <c r="Q59" s="154"/>
      <c r="R59" s="154"/>
      <c r="S59" s="154"/>
      <c r="T59" s="154"/>
      <c r="U59" s="133"/>
      <c r="V59" s="133"/>
      <c r="W59" s="133"/>
      <c r="X59" s="133"/>
      <c r="Y59" s="133"/>
      <c r="Z59" s="133"/>
      <c r="AA59" s="133"/>
      <c r="AB59" s="133"/>
      <c r="AC59" s="133"/>
      <c r="AD59" s="133"/>
      <c r="AE59" s="159"/>
      <c r="AF59" s="160"/>
      <c r="AG59" s="161"/>
      <c r="AH59" s="161"/>
      <c r="AI59" s="161"/>
      <c r="AJ59" s="161"/>
      <c r="AK59" s="161"/>
      <c r="AL59" s="161"/>
    </row>
    <row r="60" ht="15.75" customHeight="1">
      <c r="A60" s="155">
        <f t="shared" si="27"/>
        <v>6.3</v>
      </c>
      <c r="B60" s="59"/>
      <c r="C60" s="156" t="s">
        <v>165</v>
      </c>
      <c r="D60" s="128"/>
      <c r="E60" s="154"/>
      <c r="F60" s="154"/>
      <c r="G60" s="154"/>
      <c r="H60" s="154"/>
      <c r="I60" s="154"/>
      <c r="J60" s="154"/>
      <c r="K60" s="154"/>
      <c r="L60" s="154"/>
      <c r="M60" s="154"/>
      <c r="N60" s="154"/>
      <c r="O60" s="154"/>
      <c r="P60" s="154"/>
      <c r="Q60" s="154"/>
      <c r="R60" s="154"/>
      <c r="S60" s="154"/>
      <c r="T60" s="154"/>
      <c r="U60" s="167"/>
      <c r="V60" s="167"/>
      <c r="W60" s="167"/>
      <c r="X60" s="167"/>
      <c r="Y60" s="167"/>
      <c r="Z60" s="167"/>
      <c r="AA60" s="167"/>
      <c r="AB60" s="167"/>
      <c r="AC60" s="167"/>
      <c r="AD60" s="167"/>
      <c r="AE60" s="159"/>
      <c r="AF60" s="160"/>
      <c r="AG60" s="161"/>
      <c r="AH60" s="161"/>
      <c r="AI60" s="161"/>
      <c r="AJ60" s="161"/>
      <c r="AK60" s="161"/>
      <c r="AL60" s="161"/>
    </row>
    <row r="61" ht="15.75" customHeight="1">
      <c r="A61" s="155">
        <f>+A58+1</f>
        <v>7.1</v>
      </c>
      <c r="B61" s="181" t="s">
        <v>204</v>
      </c>
      <c r="C61" s="156" t="s">
        <v>163</v>
      </c>
      <c r="D61" s="128"/>
      <c r="E61" s="154"/>
      <c r="F61" s="154"/>
      <c r="G61" s="154"/>
      <c r="H61" s="154"/>
      <c r="I61" s="154"/>
      <c r="J61" s="154"/>
      <c r="K61" s="154"/>
      <c r="L61" s="154"/>
      <c r="M61" s="154"/>
      <c r="N61" s="154"/>
      <c r="O61" s="154"/>
      <c r="P61" s="154"/>
      <c r="Q61" s="154"/>
      <c r="R61" s="154"/>
      <c r="S61" s="154"/>
      <c r="T61" s="154"/>
      <c r="U61" s="167"/>
      <c r="V61" s="167"/>
      <c r="W61" s="167"/>
      <c r="X61" s="167"/>
      <c r="Y61" s="167"/>
      <c r="Z61" s="167"/>
      <c r="AA61" s="167"/>
      <c r="AB61" s="167"/>
      <c r="AC61" s="167"/>
      <c r="AD61" s="167"/>
      <c r="AE61" s="159"/>
      <c r="AF61" s="160"/>
      <c r="AG61" s="161"/>
      <c r="AH61" s="161"/>
      <c r="AI61" s="161"/>
      <c r="AJ61" s="161"/>
      <c r="AK61" s="161"/>
      <c r="AL61" s="161"/>
    </row>
    <row r="62" ht="15.75" customHeight="1">
      <c r="A62" s="155">
        <f t="shared" ref="A62:A63" si="28">+A61+0.1</f>
        <v>7.2</v>
      </c>
      <c r="B62" s="54"/>
      <c r="C62" s="156" t="s">
        <v>164</v>
      </c>
      <c r="D62" s="128"/>
      <c r="E62" s="154"/>
      <c r="F62" s="154"/>
      <c r="G62" s="154"/>
      <c r="H62" s="154"/>
      <c r="I62" s="154"/>
      <c r="J62" s="154"/>
      <c r="K62" s="154"/>
      <c r="L62" s="154"/>
      <c r="M62" s="154"/>
      <c r="N62" s="154"/>
      <c r="O62" s="154"/>
      <c r="P62" s="154"/>
      <c r="Q62" s="154"/>
      <c r="R62" s="154"/>
      <c r="S62" s="154"/>
      <c r="T62" s="154"/>
      <c r="U62" s="167"/>
      <c r="V62" s="167"/>
      <c r="W62" s="167"/>
      <c r="X62" s="167"/>
      <c r="Y62" s="167"/>
      <c r="Z62" s="167"/>
      <c r="AA62" s="167"/>
      <c r="AB62" s="167"/>
      <c r="AC62" s="167"/>
      <c r="AD62" s="167"/>
      <c r="AE62" s="159"/>
      <c r="AF62" s="160"/>
      <c r="AG62" s="161"/>
      <c r="AH62" s="161"/>
      <c r="AI62" s="161"/>
      <c r="AJ62" s="161"/>
      <c r="AK62" s="161"/>
      <c r="AL62" s="161"/>
    </row>
    <row r="63" ht="15.75" customHeight="1">
      <c r="A63" s="155">
        <f t="shared" si="28"/>
        <v>7.3</v>
      </c>
      <c r="B63" s="59"/>
      <c r="C63" s="156" t="s">
        <v>165</v>
      </c>
      <c r="D63" s="128"/>
      <c r="E63" s="154"/>
      <c r="F63" s="154"/>
      <c r="G63" s="154"/>
      <c r="H63" s="154"/>
      <c r="I63" s="154"/>
      <c r="J63" s="154"/>
      <c r="K63" s="154"/>
      <c r="L63" s="154"/>
      <c r="M63" s="154"/>
      <c r="N63" s="154"/>
      <c r="O63" s="154"/>
      <c r="P63" s="154"/>
      <c r="Q63" s="154"/>
      <c r="R63" s="154"/>
      <c r="S63" s="154"/>
      <c r="T63" s="154"/>
      <c r="U63" s="167"/>
      <c r="V63" s="167"/>
      <c r="W63" s="167"/>
      <c r="X63" s="167"/>
      <c r="Y63" s="167"/>
      <c r="Z63" s="167"/>
      <c r="AA63" s="167"/>
      <c r="AB63" s="167"/>
      <c r="AC63" s="167"/>
      <c r="AD63" s="167"/>
      <c r="AE63" s="159"/>
      <c r="AF63" s="160"/>
      <c r="AG63" s="161"/>
      <c r="AH63" s="161"/>
      <c r="AI63" s="161"/>
      <c r="AJ63" s="161"/>
      <c r="AK63" s="161"/>
      <c r="AL63" s="161"/>
    </row>
    <row r="64" ht="15.75" customHeight="1">
      <c r="A64" s="155">
        <f>+A61+1</f>
        <v>8.1</v>
      </c>
      <c r="B64" s="181" t="s">
        <v>205</v>
      </c>
      <c r="C64" s="156" t="s">
        <v>163</v>
      </c>
      <c r="D64" s="128"/>
      <c r="E64" s="154"/>
      <c r="F64" s="154"/>
      <c r="G64" s="154"/>
      <c r="H64" s="154"/>
      <c r="I64" s="154"/>
      <c r="J64" s="154"/>
      <c r="K64" s="154"/>
      <c r="L64" s="154"/>
      <c r="M64" s="154"/>
      <c r="N64" s="154"/>
      <c r="O64" s="154"/>
      <c r="P64" s="154"/>
      <c r="Q64" s="154"/>
      <c r="R64" s="154"/>
      <c r="S64" s="154"/>
      <c r="T64" s="154"/>
      <c r="U64" s="167"/>
      <c r="V64" s="167"/>
      <c r="W64" s="167"/>
      <c r="X64" s="167"/>
      <c r="Y64" s="167"/>
      <c r="Z64" s="167"/>
      <c r="AA64" s="167"/>
      <c r="AB64" s="167"/>
      <c r="AC64" s="167"/>
      <c r="AD64" s="167"/>
      <c r="AE64" s="159"/>
      <c r="AF64" s="160"/>
      <c r="AG64" s="161"/>
      <c r="AH64" s="161"/>
      <c r="AI64" s="161"/>
      <c r="AJ64" s="161"/>
      <c r="AK64" s="161"/>
      <c r="AL64" s="161"/>
    </row>
    <row r="65" ht="15.75" customHeight="1">
      <c r="A65" s="155">
        <f t="shared" ref="A65:A66" si="29">+A64+0.1</f>
        <v>8.2</v>
      </c>
      <c r="B65" s="54"/>
      <c r="C65" s="156" t="s">
        <v>164</v>
      </c>
      <c r="D65" s="128"/>
      <c r="E65" s="154"/>
      <c r="F65" s="154"/>
      <c r="G65" s="154"/>
      <c r="H65" s="154"/>
      <c r="I65" s="154"/>
      <c r="J65" s="154"/>
      <c r="K65" s="154"/>
      <c r="L65" s="154"/>
      <c r="M65" s="154"/>
      <c r="N65" s="154"/>
      <c r="O65" s="154"/>
      <c r="P65" s="154"/>
      <c r="Q65" s="154"/>
      <c r="R65" s="154"/>
      <c r="S65" s="154"/>
      <c r="T65" s="154"/>
      <c r="U65" s="167"/>
      <c r="V65" s="167"/>
      <c r="W65" s="167"/>
      <c r="X65" s="167"/>
      <c r="Y65" s="167"/>
      <c r="Z65" s="167"/>
      <c r="AA65" s="167"/>
      <c r="AB65" s="167"/>
      <c r="AC65" s="167"/>
      <c r="AD65" s="167"/>
      <c r="AE65" s="159"/>
      <c r="AF65" s="160"/>
      <c r="AG65" s="161"/>
      <c r="AH65" s="161"/>
      <c r="AI65" s="161"/>
      <c r="AJ65" s="161"/>
      <c r="AK65" s="161"/>
      <c r="AL65" s="161"/>
    </row>
    <row r="66" ht="15.75" customHeight="1">
      <c r="A66" s="155">
        <f t="shared" si="29"/>
        <v>8.3</v>
      </c>
      <c r="B66" s="59"/>
      <c r="C66" s="156" t="s">
        <v>165</v>
      </c>
      <c r="D66" s="128"/>
      <c r="E66" s="154"/>
      <c r="F66" s="154"/>
      <c r="G66" s="154"/>
      <c r="H66" s="154"/>
      <c r="I66" s="154"/>
      <c r="J66" s="154"/>
      <c r="K66" s="154"/>
      <c r="L66" s="154"/>
      <c r="M66" s="154"/>
      <c r="N66" s="154"/>
      <c r="O66" s="154"/>
      <c r="P66" s="154"/>
      <c r="Q66" s="154"/>
      <c r="R66" s="154"/>
      <c r="S66" s="154"/>
      <c r="T66" s="154"/>
      <c r="U66" s="167"/>
      <c r="V66" s="167"/>
      <c r="W66" s="167"/>
      <c r="X66" s="167"/>
      <c r="Y66" s="167"/>
      <c r="Z66" s="167"/>
      <c r="AA66" s="167"/>
      <c r="AB66" s="167"/>
      <c r="AC66" s="167"/>
      <c r="AD66" s="167"/>
      <c r="AE66" s="159"/>
      <c r="AF66" s="160"/>
      <c r="AG66" s="161"/>
      <c r="AH66" s="161"/>
      <c r="AI66" s="161"/>
      <c r="AJ66" s="161"/>
      <c r="AK66" s="161"/>
      <c r="AL66" s="161"/>
    </row>
    <row r="67" ht="15.75" customHeight="1">
      <c r="A67" s="155">
        <f>+A64+1</f>
        <v>9.1</v>
      </c>
      <c r="B67" s="184" t="s">
        <v>206</v>
      </c>
      <c r="C67" s="156" t="s">
        <v>163</v>
      </c>
      <c r="D67" s="128">
        <v>2.0</v>
      </c>
      <c r="E67" s="154">
        <f t="shared" ref="E67:E82" si="30">+$E$18+(D67*7)</f>
        <v>45679</v>
      </c>
      <c r="F67" s="154"/>
      <c r="G67" s="154">
        <f t="shared" ref="G67:G82" si="31">+$G$18+(D67*7)</f>
        <v>45707</v>
      </c>
      <c r="H67" s="154"/>
      <c r="I67" s="154">
        <f t="shared" ref="I67:I82" si="32">+$I$18+(D67*7)</f>
        <v>45735</v>
      </c>
      <c r="J67" s="154"/>
      <c r="K67" s="154">
        <f t="shared" ref="K67:K81" si="33">+$K$18+(D67*7)</f>
        <v>45763</v>
      </c>
      <c r="L67" s="154"/>
      <c r="M67" s="154">
        <f t="shared" ref="M67:M82" si="34">+$M$18+(D67*7)</f>
        <v>45791</v>
      </c>
      <c r="N67" s="154"/>
      <c r="O67" s="154">
        <f t="shared" ref="O67:O82" si="35">+$O$18+(D67*7)</f>
        <v>45819</v>
      </c>
      <c r="P67" s="154"/>
      <c r="Q67" s="154"/>
      <c r="R67" s="154"/>
      <c r="S67" s="154"/>
      <c r="T67" s="154"/>
      <c r="U67" s="167"/>
      <c r="V67" s="167"/>
      <c r="W67" s="167"/>
      <c r="X67" s="167"/>
      <c r="Y67" s="167"/>
      <c r="Z67" s="167"/>
      <c r="AA67" s="167"/>
      <c r="AB67" s="167"/>
      <c r="AC67" s="167"/>
      <c r="AD67" s="167"/>
      <c r="AE67" s="159"/>
      <c r="AF67" s="160"/>
      <c r="AG67" s="161"/>
      <c r="AH67" s="161"/>
      <c r="AI67" s="161"/>
      <c r="AJ67" s="161"/>
      <c r="AK67" s="161"/>
      <c r="AL67" s="161"/>
    </row>
    <row r="68" ht="15.75" customHeight="1">
      <c r="A68" s="155">
        <f t="shared" ref="A68:A69" si="36">+A67+0.1</f>
        <v>9.2</v>
      </c>
      <c r="B68" s="54"/>
      <c r="C68" s="156" t="s">
        <v>164</v>
      </c>
      <c r="D68" s="128">
        <v>1.0</v>
      </c>
      <c r="E68" s="154">
        <f t="shared" si="30"/>
        <v>45672</v>
      </c>
      <c r="F68" s="154"/>
      <c r="G68" s="154">
        <f t="shared" si="31"/>
        <v>45700</v>
      </c>
      <c r="H68" s="154"/>
      <c r="I68" s="154">
        <f t="shared" si="32"/>
        <v>45728</v>
      </c>
      <c r="J68" s="154"/>
      <c r="K68" s="154">
        <f t="shared" si="33"/>
        <v>45756</v>
      </c>
      <c r="L68" s="154"/>
      <c r="M68" s="154">
        <f t="shared" si="34"/>
        <v>45784</v>
      </c>
      <c r="N68" s="154"/>
      <c r="O68" s="154">
        <f t="shared" si="35"/>
        <v>45812</v>
      </c>
      <c r="P68" s="154"/>
      <c r="Q68" s="154"/>
      <c r="R68" s="154"/>
      <c r="S68" s="154"/>
      <c r="T68" s="154"/>
      <c r="U68" s="167"/>
      <c r="V68" s="167"/>
      <c r="W68" s="167"/>
      <c r="X68" s="167"/>
      <c r="Y68" s="167"/>
      <c r="Z68" s="167"/>
      <c r="AA68" s="167"/>
      <c r="AB68" s="167"/>
      <c r="AC68" s="167"/>
      <c r="AD68" s="167"/>
      <c r="AE68" s="159"/>
      <c r="AF68" s="160"/>
      <c r="AG68" s="161"/>
      <c r="AH68" s="161"/>
      <c r="AI68" s="161"/>
      <c r="AJ68" s="161"/>
      <c r="AK68" s="161"/>
      <c r="AL68" s="161"/>
    </row>
    <row r="69" ht="15.75" customHeight="1">
      <c r="A69" s="155">
        <f t="shared" si="36"/>
        <v>9.3</v>
      </c>
      <c r="B69" s="59"/>
      <c r="C69" s="156" t="s">
        <v>165</v>
      </c>
      <c r="D69" s="128">
        <v>2.0</v>
      </c>
      <c r="E69" s="154">
        <f t="shared" si="30"/>
        <v>45679</v>
      </c>
      <c r="F69" s="154"/>
      <c r="G69" s="154">
        <f t="shared" si="31"/>
        <v>45707</v>
      </c>
      <c r="H69" s="154"/>
      <c r="I69" s="154">
        <f t="shared" si="32"/>
        <v>45735</v>
      </c>
      <c r="J69" s="154"/>
      <c r="K69" s="154">
        <f t="shared" si="33"/>
        <v>45763</v>
      </c>
      <c r="L69" s="154"/>
      <c r="M69" s="154">
        <f t="shared" si="34"/>
        <v>45791</v>
      </c>
      <c r="N69" s="154"/>
      <c r="O69" s="154">
        <f t="shared" si="35"/>
        <v>45819</v>
      </c>
      <c r="P69" s="154"/>
      <c r="Q69" s="154"/>
      <c r="R69" s="154"/>
      <c r="S69" s="154"/>
      <c r="T69" s="154"/>
      <c r="U69" s="167"/>
      <c r="V69" s="167"/>
      <c r="W69" s="167"/>
      <c r="X69" s="167"/>
      <c r="Y69" s="167"/>
      <c r="Z69" s="167"/>
      <c r="AA69" s="167"/>
      <c r="AB69" s="167"/>
      <c r="AC69" s="167"/>
      <c r="AD69" s="167"/>
      <c r="AE69" s="159"/>
      <c r="AF69" s="160"/>
      <c r="AG69" s="161"/>
      <c r="AH69" s="161"/>
      <c r="AI69" s="161"/>
      <c r="AJ69" s="161"/>
      <c r="AK69" s="161"/>
      <c r="AL69" s="161"/>
    </row>
    <row r="70" ht="15.75" customHeight="1">
      <c r="A70" s="155">
        <f>+A67+1</f>
        <v>10.1</v>
      </c>
      <c r="B70" s="184" t="s">
        <v>207</v>
      </c>
      <c r="C70" s="156" t="s">
        <v>163</v>
      </c>
      <c r="D70" s="128">
        <v>3.0</v>
      </c>
      <c r="E70" s="154">
        <f t="shared" si="30"/>
        <v>45686</v>
      </c>
      <c r="F70" s="154"/>
      <c r="G70" s="154">
        <f t="shared" si="31"/>
        <v>45714</v>
      </c>
      <c r="H70" s="154"/>
      <c r="I70" s="154">
        <f t="shared" si="32"/>
        <v>45742</v>
      </c>
      <c r="J70" s="154"/>
      <c r="K70" s="154">
        <f t="shared" si="33"/>
        <v>45770</v>
      </c>
      <c r="L70" s="154"/>
      <c r="M70" s="154">
        <f t="shared" si="34"/>
        <v>45798</v>
      </c>
      <c r="N70" s="154"/>
      <c r="O70" s="154">
        <f t="shared" si="35"/>
        <v>45826</v>
      </c>
      <c r="P70" s="154"/>
      <c r="Q70" s="154"/>
      <c r="R70" s="154"/>
      <c r="S70" s="154"/>
      <c r="T70" s="154"/>
      <c r="U70" s="167"/>
      <c r="V70" s="167"/>
      <c r="W70" s="167"/>
      <c r="X70" s="167"/>
      <c r="Y70" s="167"/>
      <c r="Z70" s="167"/>
      <c r="AA70" s="167"/>
      <c r="AB70" s="167"/>
      <c r="AC70" s="167"/>
      <c r="AD70" s="167"/>
      <c r="AE70" s="159"/>
      <c r="AF70" s="160"/>
      <c r="AG70" s="161"/>
      <c r="AH70" s="161"/>
      <c r="AI70" s="161"/>
      <c r="AJ70" s="161"/>
      <c r="AK70" s="161"/>
      <c r="AL70" s="161"/>
    </row>
    <row r="71" ht="15.75" customHeight="1">
      <c r="A71" s="155">
        <f t="shared" ref="A71:A72" si="37">+A70+0.1</f>
        <v>10.2</v>
      </c>
      <c r="B71" s="54"/>
      <c r="C71" s="156" t="s">
        <v>164</v>
      </c>
      <c r="D71" s="128">
        <v>1.0</v>
      </c>
      <c r="E71" s="154">
        <f t="shared" si="30"/>
        <v>45672</v>
      </c>
      <c r="F71" s="154"/>
      <c r="G71" s="154">
        <f t="shared" si="31"/>
        <v>45700</v>
      </c>
      <c r="H71" s="154"/>
      <c r="I71" s="154">
        <f t="shared" si="32"/>
        <v>45728</v>
      </c>
      <c r="J71" s="154"/>
      <c r="K71" s="154">
        <f t="shared" si="33"/>
        <v>45756</v>
      </c>
      <c r="L71" s="154"/>
      <c r="M71" s="154">
        <f t="shared" si="34"/>
        <v>45784</v>
      </c>
      <c r="N71" s="154"/>
      <c r="O71" s="154">
        <f t="shared" si="35"/>
        <v>45812</v>
      </c>
      <c r="P71" s="154"/>
      <c r="Q71" s="154"/>
      <c r="R71" s="154"/>
      <c r="S71" s="154"/>
      <c r="T71" s="154"/>
      <c r="U71" s="167"/>
      <c r="V71" s="167"/>
      <c r="W71" s="167"/>
      <c r="X71" s="167"/>
      <c r="Y71" s="167"/>
      <c r="Z71" s="167"/>
      <c r="AA71" s="167"/>
      <c r="AB71" s="167"/>
      <c r="AC71" s="167"/>
      <c r="AD71" s="167"/>
      <c r="AE71" s="159"/>
      <c r="AF71" s="160"/>
      <c r="AG71" s="161"/>
      <c r="AH71" s="161"/>
      <c r="AI71" s="161"/>
      <c r="AJ71" s="161"/>
      <c r="AK71" s="161"/>
      <c r="AL71" s="161"/>
    </row>
    <row r="72" ht="15.75" customHeight="1">
      <c r="A72" s="155">
        <f t="shared" si="37"/>
        <v>10.3</v>
      </c>
      <c r="B72" s="59"/>
      <c r="C72" s="156" t="s">
        <v>165</v>
      </c>
      <c r="D72" s="128">
        <v>2.0</v>
      </c>
      <c r="E72" s="154">
        <f t="shared" si="30"/>
        <v>45679</v>
      </c>
      <c r="F72" s="154"/>
      <c r="G72" s="154">
        <f t="shared" si="31"/>
        <v>45707</v>
      </c>
      <c r="H72" s="154"/>
      <c r="I72" s="154">
        <f t="shared" si="32"/>
        <v>45735</v>
      </c>
      <c r="J72" s="154"/>
      <c r="K72" s="154">
        <f t="shared" si="33"/>
        <v>45763</v>
      </c>
      <c r="L72" s="154"/>
      <c r="M72" s="154">
        <f t="shared" si="34"/>
        <v>45791</v>
      </c>
      <c r="N72" s="154"/>
      <c r="O72" s="154">
        <f t="shared" si="35"/>
        <v>45819</v>
      </c>
      <c r="P72" s="154"/>
      <c r="Q72" s="154"/>
      <c r="R72" s="154"/>
      <c r="S72" s="154"/>
      <c r="T72" s="154"/>
      <c r="U72" s="167"/>
      <c r="V72" s="167"/>
      <c r="W72" s="167"/>
      <c r="X72" s="167"/>
      <c r="Y72" s="167"/>
      <c r="Z72" s="167"/>
      <c r="AA72" s="167"/>
      <c r="AB72" s="167"/>
      <c r="AC72" s="167"/>
      <c r="AD72" s="167"/>
      <c r="AE72" s="159"/>
      <c r="AF72" s="160"/>
      <c r="AG72" s="161"/>
      <c r="AH72" s="161"/>
      <c r="AI72" s="161"/>
      <c r="AJ72" s="161"/>
      <c r="AK72" s="161"/>
      <c r="AL72" s="161"/>
    </row>
    <row r="73" ht="15.75" customHeight="1">
      <c r="A73" s="155">
        <f>+A70+1</f>
        <v>11.1</v>
      </c>
      <c r="B73" s="185" t="s">
        <v>208</v>
      </c>
      <c r="C73" s="156" t="s">
        <v>163</v>
      </c>
      <c r="D73" s="128">
        <v>4.0</v>
      </c>
      <c r="E73" s="154">
        <f t="shared" si="30"/>
        <v>45693</v>
      </c>
      <c r="F73" s="154"/>
      <c r="G73" s="154">
        <f t="shared" si="31"/>
        <v>45721</v>
      </c>
      <c r="H73" s="154"/>
      <c r="I73" s="154">
        <f t="shared" si="32"/>
        <v>45749</v>
      </c>
      <c r="J73" s="154"/>
      <c r="K73" s="154">
        <f t="shared" si="33"/>
        <v>45777</v>
      </c>
      <c r="L73" s="154"/>
      <c r="M73" s="154">
        <f t="shared" si="34"/>
        <v>45805</v>
      </c>
      <c r="N73" s="154"/>
      <c r="O73" s="154">
        <f t="shared" si="35"/>
        <v>45833</v>
      </c>
      <c r="P73" s="154"/>
      <c r="Q73" s="154"/>
      <c r="R73" s="154"/>
      <c r="S73" s="154"/>
      <c r="T73" s="154"/>
      <c r="U73" s="167"/>
      <c r="V73" s="167"/>
      <c r="W73" s="167"/>
      <c r="X73" s="167"/>
      <c r="Y73" s="167"/>
      <c r="Z73" s="167"/>
      <c r="AA73" s="167"/>
      <c r="AB73" s="167"/>
      <c r="AC73" s="167"/>
      <c r="AD73" s="167"/>
      <c r="AE73" s="159"/>
      <c r="AF73" s="160"/>
      <c r="AG73" s="161"/>
      <c r="AH73" s="161"/>
      <c r="AI73" s="161"/>
      <c r="AJ73" s="161"/>
      <c r="AK73" s="161"/>
      <c r="AL73" s="161"/>
    </row>
    <row r="74" ht="15.75" customHeight="1">
      <c r="A74" s="155">
        <f t="shared" ref="A74:A75" si="38">+A73+0.1</f>
        <v>11.2</v>
      </c>
      <c r="B74" s="54"/>
      <c r="C74" s="156" t="s">
        <v>164</v>
      </c>
      <c r="D74" s="128">
        <v>1.0</v>
      </c>
      <c r="E74" s="154">
        <f t="shared" si="30"/>
        <v>45672</v>
      </c>
      <c r="F74" s="154"/>
      <c r="G74" s="154">
        <f t="shared" si="31"/>
        <v>45700</v>
      </c>
      <c r="H74" s="154"/>
      <c r="I74" s="154">
        <f t="shared" si="32"/>
        <v>45728</v>
      </c>
      <c r="J74" s="154"/>
      <c r="K74" s="154">
        <f t="shared" si="33"/>
        <v>45756</v>
      </c>
      <c r="L74" s="154"/>
      <c r="M74" s="154">
        <f t="shared" si="34"/>
        <v>45784</v>
      </c>
      <c r="N74" s="154"/>
      <c r="O74" s="154">
        <f t="shared" si="35"/>
        <v>45812</v>
      </c>
      <c r="P74" s="154"/>
      <c r="Q74" s="154"/>
      <c r="R74" s="154"/>
      <c r="S74" s="154"/>
      <c r="T74" s="154"/>
      <c r="U74" s="167"/>
      <c r="V74" s="167"/>
      <c r="W74" s="167"/>
      <c r="X74" s="167"/>
      <c r="Y74" s="167"/>
      <c r="Z74" s="167"/>
      <c r="AA74" s="167"/>
      <c r="AB74" s="167"/>
      <c r="AC74" s="167"/>
      <c r="AD74" s="167"/>
      <c r="AE74" s="159"/>
      <c r="AF74" s="160"/>
      <c r="AG74" s="161"/>
      <c r="AH74" s="161"/>
      <c r="AI74" s="161"/>
      <c r="AJ74" s="161"/>
      <c r="AK74" s="161"/>
      <c r="AL74" s="161"/>
    </row>
    <row r="75" ht="15.75" customHeight="1">
      <c r="A75" s="155">
        <f t="shared" si="38"/>
        <v>11.3</v>
      </c>
      <c r="B75" s="59"/>
      <c r="C75" s="156" t="s">
        <v>165</v>
      </c>
      <c r="D75" s="128">
        <v>2.0</v>
      </c>
      <c r="E75" s="154">
        <f t="shared" si="30"/>
        <v>45679</v>
      </c>
      <c r="F75" s="154"/>
      <c r="G75" s="154">
        <f t="shared" si="31"/>
        <v>45707</v>
      </c>
      <c r="H75" s="154"/>
      <c r="I75" s="154">
        <f t="shared" si="32"/>
        <v>45735</v>
      </c>
      <c r="J75" s="154"/>
      <c r="K75" s="154">
        <f t="shared" si="33"/>
        <v>45763</v>
      </c>
      <c r="L75" s="154"/>
      <c r="M75" s="154">
        <f t="shared" si="34"/>
        <v>45791</v>
      </c>
      <c r="N75" s="154"/>
      <c r="O75" s="154">
        <f t="shared" si="35"/>
        <v>45819</v>
      </c>
      <c r="P75" s="154"/>
      <c r="Q75" s="154"/>
      <c r="R75" s="154"/>
      <c r="S75" s="154"/>
      <c r="T75" s="154"/>
      <c r="U75" s="167"/>
      <c r="V75" s="167"/>
      <c r="W75" s="167"/>
      <c r="X75" s="167"/>
      <c r="Y75" s="167"/>
      <c r="Z75" s="167"/>
      <c r="AA75" s="167"/>
      <c r="AB75" s="167"/>
      <c r="AC75" s="167"/>
      <c r="AD75" s="167"/>
      <c r="AE75" s="159"/>
      <c r="AF75" s="160"/>
      <c r="AG75" s="161"/>
      <c r="AH75" s="161"/>
      <c r="AI75" s="161"/>
      <c r="AJ75" s="161"/>
      <c r="AK75" s="161"/>
      <c r="AL75" s="161"/>
    </row>
    <row r="76" ht="15.75" customHeight="1">
      <c r="A76" s="155">
        <f>+A73+1</f>
        <v>12.1</v>
      </c>
      <c r="B76" s="181" t="s">
        <v>209</v>
      </c>
      <c r="C76" s="156" t="s">
        <v>163</v>
      </c>
      <c r="D76" s="128">
        <v>5.0</v>
      </c>
      <c r="E76" s="154">
        <f t="shared" si="30"/>
        <v>45700</v>
      </c>
      <c r="F76" s="154"/>
      <c r="G76" s="154">
        <f t="shared" si="31"/>
        <v>45728</v>
      </c>
      <c r="H76" s="154"/>
      <c r="I76" s="154">
        <f t="shared" si="32"/>
        <v>45756</v>
      </c>
      <c r="J76" s="154"/>
      <c r="K76" s="154">
        <f t="shared" si="33"/>
        <v>45784</v>
      </c>
      <c r="L76" s="154"/>
      <c r="M76" s="154">
        <f t="shared" si="34"/>
        <v>45812</v>
      </c>
      <c r="N76" s="154"/>
      <c r="O76" s="154">
        <f t="shared" si="35"/>
        <v>45840</v>
      </c>
      <c r="P76" s="154"/>
      <c r="Q76" s="154"/>
      <c r="R76" s="154"/>
      <c r="S76" s="154"/>
      <c r="T76" s="154"/>
      <c r="U76" s="167"/>
      <c r="V76" s="167"/>
      <c r="W76" s="9"/>
      <c r="X76" s="167"/>
      <c r="Y76" s="167"/>
      <c r="Z76" s="167"/>
      <c r="AA76" s="167"/>
      <c r="AB76" s="167"/>
      <c r="AC76" s="167"/>
      <c r="AD76" s="167"/>
      <c r="AE76" s="159"/>
      <c r="AF76" s="160"/>
      <c r="AG76" s="161"/>
      <c r="AH76" s="161"/>
      <c r="AI76" s="161"/>
      <c r="AJ76" s="161"/>
      <c r="AK76" s="161"/>
      <c r="AL76" s="161"/>
    </row>
    <row r="77" ht="15.75" customHeight="1">
      <c r="A77" s="155">
        <f t="shared" ref="A77:A78" si="39">+A76+0.1</f>
        <v>12.2</v>
      </c>
      <c r="B77" s="54"/>
      <c r="C77" s="156" t="s">
        <v>164</v>
      </c>
      <c r="D77" s="128">
        <v>1.0</v>
      </c>
      <c r="E77" s="154">
        <f t="shared" si="30"/>
        <v>45672</v>
      </c>
      <c r="F77" s="154"/>
      <c r="G77" s="154">
        <f t="shared" si="31"/>
        <v>45700</v>
      </c>
      <c r="H77" s="154"/>
      <c r="I77" s="154">
        <f t="shared" si="32"/>
        <v>45728</v>
      </c>
      <c r="J77" s="154"/>
      <c r="K77" s="154">
        <f t="shared" si="33"/>
        <v>45756</v>
      </c>
      <c r="L77" s="154"/>
      <c r="M77" s="154">
        <f t="shared" si="34"/>
        <v>45784</v>
      </c>
      <c r="N77" s="154"/>
      <c r="O77" s="154">
        <f t="shared" si="35"/>
        <v>45812</v>
      </c>
      <c r="P77" s="154"/>
      <c r="Q77" s="154"/>
      <c r="R77" s="154"/>
      <c r="S77" s="154"/>
      <c r="T77" s="154"/>
      <c r="U77" s="167"/>
      <c r="V77" s="167"/>
      <c r="W77" s="167"/>
      <c r="X77" s="167"/>
      <c r="Y77" s="167"/>
      <c r="Z77" s="167"/>
      <c r="AA77" s="167"/>
      <c r="AB77" s="167"/>
      <c r="AC77" s="167"/>
      <c r="AD77" s="167"/>
      <c r="AE77" s="159"/>
      <c r="AF77" s="160"/>
      <c r="AG77" s="161"/>
      <c r="AH77" s="161"/>
      <c r="AI77" s="161"/>
      <c r="AJ77" s="161"/>
      <c r="AK77" s="161"/>
      <c r="AL77" s="161"/>
    </row>
    <row r="78" ht="15.75" customHeight="1">
      <c r="A78" s="155">
        <f t="shared" si="39"/>
        <v>12.3</v>
      </c>
      <c r="B78" s="59"/>
      <c r="C78" s="156" t="s">
        <v>165</v>
      </c>
      <c r="D78" s="128">
        <v>2.0</v>
      </c>
      <c r="E78" s="154">
        <f t="shared" si="30"/>
        <v>45679</v>
      </c>
      <c r="F78" s="154"/>
      <c r="G78" s="154">
        <f t="shared" si="31"/>
        <v>45707</v>
      </c>
      <c r="H78" s="154"/>
      <c r="I78" s="154">
        <f t="shared" si="32"/>
        <v>45735</v>
      </c>
      <c r="J78" s="154"/>
      <c r="K78" s="154">
        <f t="shared" si="33"/>
        <v>45763</v>
      </c>
      <c r="L78" s="154"/>
      <c r="M78" s="154">
        <f t="shared" si="34"/>
        <v>45791</v>
      </c>
      <c r="N78" s="154"/>
      <c r="O78" s="154">
        <f t="shared" si="35"/>
        <v>45819</v>
      </c>
      <c r="P78" s="154"/>
      <c r="Q78" s="154"/>
      <c r="R78" s="154"/>
      <c r="S78" s="154"/>
      <c r="T78" s="154"/>
      <c r="U78" s="167"/>
      <c r="V78" s="167"/>
      <c r="W78" s="167"/>
      <c r="X78" s="167"/>
      <c r="Y78" s="167"/>
      <c r="Z78" s="167"/>
      <c r="AA78" s="167"/>
      <c r="AB78" s="167"/>
      <c r="AC78" s="167"/>
      <c r="AD78" s="167"/>
      <c r="AE78" s="159"/>
      <c r="AF78" s="160"/>
      <c r="AG78" s="161"/>
      <c r="AH78" s="161"/>
      <c r="AI78" s="161"/>
      <c r="AJ78" s="161"/>
      <c r="AK78" s="161"/>
      <c r="AL78" s="161"/>
    </row>
    <row r="79" ht="15.75" customHeight="1">
      <c r="A79" s="155">
        <f>+A76+1</f>
        <v>13.1</v>
      </c>
      <c r="B79" s="181" t="s">
        <v>210</v>
      </c>
      <c r="C79" s="156" t="s">
        <v>163</v>
      </c>
      <c r="D79" s="128">
        <v>6.0</v>
      </c>
      <c r="E79" s="154">
        <f t="shared" si="30"/>
        <v>45707</v>
      </c>
      <c r="F79" s="154"/>
      <c r="G79" s="154">
        <f t="shared" si="31"/>
        <v>45735</v>
      </c>
      <c r="H79" s="150"/>
      <c r="I79" s="154">
        <f t="shared" si="32"/>
        <v>45763</v>
      </c>
      <c r="J79" s="150"/>
      <c r="K79" s="154">
        <f t="shared" si="33"/>
        <v>45791</v>
      </c>
      <c r="L79" s="154"/>
      <c r="M79" s="154">
        <f t="shared" si="34"/>
        <v>45819</v>
      </c>
      <c r="N79" s="154"/>
      <c r="O79" s="154">
        <f t="shared" si="35"/>
        <v>45847</v>
      </c>
      <c r="P79" s="154"/>
      <c r="Q79" s="154"/>
      <c r="R79" s="154"/>
      <c r="S79" s="154"/>
      <c r="T79" s="154"/>
      <c r="U79" s="167"/>
      <c r="V79" s="167"/>
      <c r="W79" s="9"/>
      <c r="X79" s="9"/>
      <c r="Y79" s="167"/>
      <c r="Z79" s="9"/>
      <c r="AA79" s="167"/>
      <c r="AB79" s="9"/>
      <c r="AC79" s="167"/>
      <c r="AD79" s="9"/>
      <c r="AE79" s="159"/>
      <c r="AF79" s="160"/>
      <c r="AG79" s="161"/>
      <c r="AH79" s="161"/>
      <c r="AI79" s="161"/>
      <c r="AJ79" s="161"/>
      <c r="AK79" s="161"/>
      <c r="AL79" s="161"/>
    </row>
    <row r="80" ht="15.75" customHeight="1">
      <c r="A80" s="155">
        <f t="shared" ref="A80:A81" si="40">+A79+0.1</f>
        <v>13.2</v>
      </c>
      <c r="B80" s="54"/>
      <c r="C80" s="156" t="s">
        <v>164</v>
      </c>
      <c r="D80" s="128">
        <v>1.0</v>
      </c>
      <c r="E80" s="154">
        <f t="shared" si="30"/>
        <v>45672</v>
      </c>
      <c r="F80" s="154"/>
      <c r="G80" s="154">
        <f t="shared" si="31"/>
        <v>45700</v>
      </c>
      <c r="H80" s="154"/>
      <c r="I80" s="154">
        <f t="shared" si="32"/>
        <v>45728</v>
      </c>
      <c r="J80" s="154"/>
      <c r="K80" s="154">
        <f t="shared" si="33"/>
        <v>45756</v>
      </c>
      <c r="L80" s="154"/>
      <c r="M80" s="154">
        <f t="shared" si="34"/>
        <v>45784</v>
      </c>
      <c r="N80" s="154"/>
      <c r="O80" s="154">
        <f t="shared" si="35"/>
        <v>45812</v>
      </c>
      <c r="P80" s="154"/>
      <c r="Q80" s="154"/>
      <c r="R80" s="154"/>
      <c r="S80" s="154"/>
      <c r="T80" s="154"/>
      <c r="U80" s="167"/>
      <c r="V80" s="167"/>
      <c r="W80" s="167"/>
      <c r="X80" s="167"/>
      <c r="Y80" s="167"/>
      <c r="Z80" s="167"/>
      <c r="AA80" s="167"/>
      <c r="AB80" s="167"/>
      <c r="AC80" s="167"/>
      <c r="AD80" s="167"/>
      <c r="AE80" s="159"/>
      <c r="AF80" s="160"/>
      <c r="AG80" s="161"/>
      <c r="AH80" s="161"/>
      <c r="AI80" s="161"/>
      <c r="AJ80" s="161"/>
      <c r="AK80" s="161"/>
      <c r="AL80" s="161"/>
    </row>
    <row r="81" ht="15.75" customHeight="1">
      <c r="A81" s="155">
        <f t="shared" si="40"/>
        <v>13.3</v>
      </c>
      <c r="B81" s="59"/>
      <c r="C81" s="156" t="s">
        <v>165</v>
      </c>
      <c r="D81" s="128">
        <v>2.0</v>
      </c>
      <c r="E81" s="154">
        <f t="shared" si="30"/>
        <v>45679</v>
      </c>
      <c r="F81" s="154"/>
      <c r="G81" s="154">
        <f t="shared" si="31"/>
        <v>45707</v>
      </c>
      <c r="H81" s="154"/>
      <c r="I81" s="154">
        <f t="shared" si="32"/>
        <v>45735</v>
      </c>
      <c r="J81" s="154"/>
      <c r="K81" s="154">
        <f t="shared" si="33"/>
        <v>45763</v>
      </c>
      <c r="L81" s="154"/>
      <c r="M81" s="154">
        <f t="shared" si="34"/>
        <v>45791</v>
      </c>
      <c r="N81" s="154"/>
      <c r="O81" s="154">
        <f t="shared" si="35"/>
        <v>45819</v>
      </c>
      <c r="P81" s="154"/>
      <c r="Q81" s="154"/>
      <c r="R81" s="154"/>
      <c r="S81" s="154"/>
      <c r="T81" s="154"/>
      <c r="U81" s="167"/>
      <c r="V81" s="167"/>
      <c r="W81" s="167"/>
      <c r="X81" s="167"/>
      <c r="Y81" s="167"/>
      <c r="Z81" s="167"/>
      <c r="AA81" s="167"/>
      <c r="AB81" s="167"/>
      <c r="AC81" s="167"/>
      <c r="AD81" s="167"/>
      <c r="AE81" s="159"/>
      <c r="AF81" s="160"/>
      <c r="AG81" s="161"/>
      <c r="AH81" s="161"/>
      <c r="AI81" s="161"/>
      <c r="AJ81" s="161"/>
      <c r="AK81" s="161"/>
      <c r="AL81" s="161"/>
    </row>
    <row r="82" ht="15.75" customHeight="1">
      <c r="A82" s="155">
        <f>+A79+1</f>
        <v>14.1</v>
      </c>
      <c r="B82" s="185" t="s">
        <v>211</v>
      </c>
      <c r="C82" s="156" t="s">
        <v>163</v>
      </c>
      <c r="D82" s="128">
        <v>7.0</v>
      </c>
      <c r="E82" s="154">
        <f t="shared" si="30"/>
        <v>45714</v>
      </c>
      <c r="F82" s="150"/>
      <c r="G82" s="154">
        <f t="shared" si="31"/>
        <v>45742</v>
      </c>
      <c r="H82" s="150"/>
      <c r="I82" s="154">
        <f t="shared" si="32"/>
        <v>45770</v>
      </c>
      <c r="J82" s="150"/>
      <c r="K82" s="154">
        <f>+$K$18+(F82*7)</f>
        <v>45749</v>
      </c>
      <c r="L82" s="150"/>
      <c r="M82" s="154">
        <f t="shared" si="34"/>
        <v>45826</v>
      </c>
      <c r="N82" s="150"/>
      <c r="O82" s="154">
        <f t="shared" si="35"/>
        <v>45854</v>
      </c>
      <c r="P82" s="150"/>
      <c r="Q82" s="150"/>
      <c r="R82" s="150"/>
      <c r="S82" s="150"/>
      <c r="T82" s="150"/>
      <c r="U82" s="9"/>
      <c r="V82" s="9"/>
      <c r="W82" s="9"/>
      <c r="X82" s="9"/>
      <c r="Y82" s="9"/>
      <c r="Z82" s="9"/>
      <c r="AA82" s="9"/>
      <c r="AB82" s="9"/>
      <c r="AC82" s="9"/>
      <c r="AD82" s="9"/>
      <c r="AE82" s="119"/>
      <c r="AF82" s="9"/>
      <c r="AG82" s="9"/>
      <c r="AH82" s="9"/>
      <c r="AI82" s="9"/>
      <c r="AJ82" s="9"/>
      <c r="AK82" s="9"/>
      <c r="AL82" s="9"/>
    </row>
    <row r="83" ht="15.75" customHeight="1">
      <c r="A83" s="155">
        <f t="shared" ref="A83:A84" si="41">+A82+0.1</f>
        <v>14.2</v>
      </c>
      <c r="B83" s="54"/>
      <c r="C83" s="156" t="s">
        <v>164</v>
      </c>
      <c r="D83" s="128">
        <v>1.0</v>
      </c>
      <c r="E83" s="154">
        <f t="shared" ref="E83:E84" si="42">+$E$82+(D83*7)</f>
        <v>45721</v>
      </c>
      <c r="F83" s="150"/>
      <c r="G83" s="154">
        <f>G82+(D83*7)</f>
        <v>45749</v>
      </c>
      <c r="H83" s="150"/>
      <c r="I83" s="154">
        <f>+$I$82+(H83*7)</f>
        <v>45770</v>
      </c>
      <c r="J83" s="150"/>
      <c r="K83" s="154">
        <f t="shared" ref="K83:K84" si="43">+$K$82+(D83*7)</f>
        <v>45756</v>
      </c>
      <c r="L83" s="150"/>
      <c r="M83" s="154">
        <f>+$M$82+(D83*7)</f>
        <v>45833</v>
      </c>
      <c r="N83" s="150"/>
      <c r="O83" s="154">
        <f>+$O$82+(D83*7)</f>
        <v>45861</v>
      </c>
      <c r="P83" s="150"/>
      <c r="Q83" s="150"/>
      <c r="R83" s="150"/>
      <c r="S83" s="150"/>
      <c r="T83" s="150"/>
      <c r="U83" s="9"/>
      <c r="V83" s="9"/>
      <c r="W83" s="9"/>
      <c r="X83" s="9"/>
      <c r="Y83" s="9"/>
      <c r="Z83" s="9"/>
      <c r="AA83" s="9"/>
      <c r="AB83" s="9"/>
      <c r="AC83" s="9"/>
      <c r="AD83" s="9"/>
      <c r="AE83" s="119"/>
      <c r="AF83" s="9"/>
      <c r="AG83" s="9"/>
      <c r="AH83" s="9"/>
      <c r="AI83" s="9"/>
      <c r="AJ83" s="9"/>
      <c r="AK83" s="9"/>
      <c r="AL83" s="9"/>
    </row>
    <row r="84" ht="15.75" customHeight="1">
      <c r="A84" s="155">
        <f t="shared" si="41"/>
        <v>14.3</v>
      </c>
      <c r="B84" s="59"/>
      <c r="C84" s="156" t="s">
        <v>165</v>
      </c>
      <c r="D84" s="128">
        <v>2.0</v>
      </c>
      <c r="E84" s="154">
        <f t="shared" si="42"/>
        <v>45728</v>
      </c>
      <c r="F84" s="150"/>
      <c r="G84" s="154">
        <f>+$G$82+(D84*7)</f>
        <v>45756</v>
      </c>
      <c r="H84" s="150"/>
      <c r="I84" s="154">
        <f>+$I$82+(D84*7)</f>
        <v>45784</v>
      </c>
      <c r="J84" s="150"/>
      <c r="K84" s="154">
        <f t="shared" si="43"/>
        <v>45763</v>
      </c>
      <c r="L84" s="150"/>
      <c r="M84" s="154">
        <f>+$M$83+(D84*7)</f>
        <v>45847</v>
      </c>
      <c r="N84" s="150"/>
      <c r="O84" s="154">
        <f>+$O$83+(D84*7)</f>
        <v>45875</v>
      </c>
      <c r="P84" s="150"/>
      <c r="Q84" s="150"/>
      <c r="R84" s="150"/>
      <c r="S84" s="150"/>
      <c r="T84" s="150"/>
      <c r="U84" s="9"/>
      <c r="V84" s="9"/>
      <c r="W84" s="9"/>
      <c r="X84" s="9"/>
      <c r="Y84" s="9"/>
      <c r="Z84" s="9"/>
      <c r="AA84" s="9"/>
      <c r="AB84" s="9"/>
      <c r="AC84" s="9"/>
      <c r="AD84" s="9"/>
      <c r="AE84" s="119"/>
      <c r="AF84" s="9"/>
      <c r="AG84" s="9"/>
      <c r="AH84" s="9"/>
      <c r="AI84" s="9"/>
      <c r="AJ84" s="9"/>
      <c r="AK84" s="9"/>
      <c r="AL84" s="9"/>
    </row>
    <row r="85" ht="15.75" customHeight="1">
      <c r="A85" s="155">
        <v>15.0</v>
      </c>
      <c r="B85" s="165" t="s">
        <v>212</v>
      </c>
      <c r="C85" s="156" t="s">
        <v>165</v>
      </c>
      <c r="D85" s="128">
        <v>12.0</v>
      </c>
      <c r="E85" s="154">
        <f>+E67+(D85*7)</f>
        <v>45763</v>
      </c>
      <c r="F85" s="154"/>
      <c r="G85" s="154">
        <f>+$G$18+(D85*7)</f>
        <v>45777</v>
      </c>
      <c r="H85" s="154"/>
      <c r="I85" s="154">
        <f>+$I$18+(D85*7)</f>
        <v>45805</v>
      </c>
      <c r="J85" s="154"/>
      <c r="K85" s="154">
        <f>+$K$18+(D85*7)</f>
        <v>45833</v>
      </c>
      <c r="L85" s="154"/>
      <c r="M85" s="154">
        <f>+$M$18+(D85*7)</f>
        <v>45861</v>
      </c>
      <c r="N85" s="154"/>
      <c r="O85" s="154">
        <f>+$O$18+(D85*7)</f>
        <v>45889</v>
      </c>
      <c r="P85" s="154"/>
      <c r="Q85" s="154"/>
      <c r="R85" s="154"/>
      <c r="S85" s="154"/>
      <c r="T85" s="154"/>
      <c r="U85" s="167"/>
      <c r="V85" s="167"/>
      <c r="W85" s="167"/>
      <c r="X85" s="167"/>
      <c r="Y85" s="167"/>
      <c r="Z85" s="167"/>
      <c r="AA85" s="167"/>
      <c r="AB85" s="167"/>
      <c r="AC85" s="167"/>
      <c r="AD85" s="167"/>
      <c r="AE85" s="159"/>
      <c r="AF85" s="160"/>
      <c r="AG85" s="161"/>
      <c r="AH85" s="161"/>
      <c r="AI85" s="161"/>
      <c r="AJ85" s="161"/>
      <c r="AK85" s="161"/>
      <c r="AL85" s="161"/>
    </row>
    <row r="86" ht="15.75" customHeight="1">
      <c r="A86" s="125"/>
      <c r="B86" s="125"/>
      <c r="C86" s="125"/>
      <c r="D86" s="125"/>
      <c r="E86" s="186"/>
      <c r="F86" s="186"/>
      <c r="G86" s="186"/>
      <c r="H86" s="186"/>
      <c r="I86" s="186"/>
      <c r="J86" s="186"/>
      <c r="K86" s="186"/>
      <c r="L86" s="186"/>
      <c r="M86" s="186"/>
      <c r="N86" s="186"/>
      <c r="O86" s="186"/>
      <c r="P86" s="186"/>
      <c r="Q86" s="186"/>
      <c r="R86" s="186"/>
      <c r="S86" s="186"/>
      <c r="T86" s="186"/>
      <c r="U86" s="125"/>
      <c r="V86" s="125"/>
      <c r="W86" s="186"/>
      <c r="X86" s="186"/>
      <c r="Y86" s="125"/>
      <c r="Z86" s="125"/>
      <c r="AA86" s="125"/>
      <c r="AB86" s="125"/>
      <c r="AC86" s="125"/>
      <c r="AD86" s="125"/>
      <c r="AE86" s="187"/>
      <c r="AF86" s="125"/>
      <c r="AG86" s="125"/>
      <c r="AH86" s="125"/>
      <c r="AI86" s="125"/>
      <c r="AJ86" s="125"/>
      <c r="AK86" s="125"/>
      <c r="AL86" s="125"/>
    </row>
    <row r="87" ht="15.75" customHeight="1">
      <c r="A87" s="125"/>
      <c r="B87" s="125"/>
      <c r="C87" s="125"/>
      <c r="D87" s="125"/>
      <c r="E87" s="186"/>
      <c r="F87" s="186"/>
      <c r="G87" s="186"/>
      <c r="H87" s="186"/>
      <c r="I87" s="186"/>
      <c r="J87" s="186"/>
      <c r="K87" s="186"/>
      <c r="L87" s="186"/>
      <c r="M87" s="186"/>
      <c r="N87" s="186"/>
      <c r="O87" s="186"/>
      <c r="P87" s="186"/>
      <c r="Q87" s="186"/>
      <c r="R87" s="186"/>
      <c r="S87" s="186"/>
      <c r="T87" s="186"/>
      <c r="U87" s="125"/>
      <c r="V87" s="125"/>
      <c r="W87" s="186"/>
      <c r="X87" s="186"/>
      <c r="Y87" s="125"/>
      <c r="Z87" s="125"/>
      <c r="AA87" s="125"/>
      <c r="AB87" s="125"/>
      <c r="AC87" s="125"/>
      <c r="AD87" s="125"/>
      <c r="AE87" s="187"/>
      <c r="AF87" s="125"/>
      <c r="AG87" s="125"/>
      <c r="AH87" s="125"/>
      <c r="AI87" s="125"/>
      <c r="AJ87" s="125"/>
      <c r="AK87" s="125"/>
      <c r="AL87" s="125"/>
    </row>
    <row r="88" ht="15.75" customHeight="1">
      <c r="A88" s="125"/>
      <c r="B88" s="125"/>
      <c r="C88" s="125"/>
      <c r="D88" s="125"/>
      <c r="E88" s="186"/>
      <c r="F88" s="186"/>
      <c r="G88" s="186"/>
      <c r="H88" s="186"/>
      <c r="I88" s="186"/>
      <c r="J88" s="186"/>
      <c r="K88" s="186"/>
      <c r="L88" s="186"/>
      <c r="M88" s="186"/>
      <c r="N88" s="186"/>
      <c r="O88" s="186"/>
      <c r="P88" s="186"/>
      <c r="Q88" s="186"/>
      <c r="R88" s="186"/>
      <c r="S88" s="186"/>
      <c r="T88" s="186"/>
      <c r="U88" s="125"/>
      <c r="V88" s="125"/>
      <c r="W88" s="186"/>
      <c r="X88" s="186"/>
      <c r="Y88" s="125"/>
      <c r="Z88" s="125"/>
      <c r="AA88" s="125"/>
      <c r="AB88" s="125"/>
      <c r="AC88" s="125"/>
      <c r="AD88" s="125"/>
      <c r="AE88" s="187"/>
      <c r="AF88" s="125"/>
      <c r="AG88" s="125"/>
      <c r="AH88" s="125"/>
      <c r="AI88" s="125"/>
      <c r="AJ88" s="125"/>
      <c r="AK88" s="125"/>
      <c r="AL88" s="125"/>
    </row>
    <row r="89" ht="15.75" customHeight="1">
      <c r="A89" s="125"/>
      <c r="B89" s="125"/>
      <c r="C89" s="125"/>
      <c r="D89" s="125"/>
      <c r="E89" s="186"/>
      <c r="F89" s="186"/>
      <c r="G89" s="186"/>
      <c r="H89" s="186"/>
      <c r="I89" s="186"/>
      <c r="J89" s="186"/>
      <c r="K89" s="186"/>
      <c r="L89" s="186"/>
      <c r="M89" s="186"/>
      <c r="N89" s="186"/>
      <c r="O89" s="186"/>
      <c r="P89" s="186"/>
      <c r="Q89" s="186"/>
      <c r="R89" s="186"/>
      <c r="S89" s="186"/>
      <c r="T89" s="186"/>
      <c r="U89" s="125"/>
      <c r="V89" s="125"/>
      <c r="W89" s="186"/>
      <c r="X89" s="186"/>
      <c r="Y89" s="125"/>
      <c r="Z89" s="125"/>
      <c r="AA89" s="125"/>
      <c r="AB89" s="125"/>
      <c r="AC89" s="125"/>
      <c r="AD89" s="125"/>
      <c r="AE89" s="187"/>
      <c r="AF89" s="125"/>
      <c r="AG89" s="125"/>
      <c r="AH89" s="125"/>
      <c r="AI89" s="125"/>
      <c r="AJ89" s="125"/>
      <c r="AK89" s="125"/>
      <c r="AL89" s="125"/>
    </row>
    <row r="90" ht="15.75" customHeight="1">
      <c r="A90" s="125"/>
      <c r="B90" s="125"/>
      <c r="C90" s="125"/>
      <c r="D90" s="125"/>
      <c r="E90" s="186"/>
      <c r="F90" s="186"/>
      <c r="G90" s="186"/>
      <c r="H90" s="186"/>
      <c r="I90" s="186"/>
      <c r="J90" s="186"/>
      <c r="K90" s="186"/>
      <c r="L90" s="186"/>
      <c r="M90" s="186"/>
      <c r="N90" s="186"/>
      <c r="O90" s="186"/>
      <c r="P90" s="186"/>
      <c r="Q90" s="186"/>
      <c r="R90" s="186"/>
      <c r="S90" s="186"/>
      <c r="T90" s="186"/>
      <c r="U90" s="125"/>
      <c r="V90" s="125"/>
      <c r="W90" s="186"/>
      <c r="X90" s="186"/>
      <c r="Y90" s="125"/>
      <c r="Z90" s="125"/>
      <c r="AA90" s="125"/>
      <c r="AB90" s="125"/>
      <c r="AC90" s="125"/>
      <c r="AD90" s="125"/>
      <c r="AE90" s="187"/>
      <c r="AF90" s="125"/>
      <c r="AG90" s="125"/>
      <c r="AH90" s="125"/>
      <c r="AI90" s="125"/>
      <c r="AJ90" s="125"/>
      <c r="AK90" s="125"/>
      <c r="AL90" s="125"/>
    </row>
    <row r="91" ht="15.75" customHeight="1">
      <c r="A91" s="125"/>
      <c r="B91" s="125"/>
      <c r="C91" s="125"/>
      <c r="D91" s="125"/>
      <c r="E91" s="186"/>
      <c r="F91" s="186"/>
      <c r="G91" s="186"/>
      <c r="H91" s="186"/>
      <c r="I91" s="186"/>
      <c r="J91" s="186"/>
      <c r="K91" s="186"/>
      <c r="L91" s="186"/>
      <c r="M91" s="186"/>
      <c r="N91" s="186"/>
      <c r="O91" s="186"/>
      <c r="P91" s="186"/>
      <c r="Q91" s="186"/>
      <c r="R91" s="186"/>
      <c r="S91" s="186"/>
      <c r="T91" s="186"/>
      <c r="U91" s="125"/>
      <c r="V91" s="125"/>
      <c r="W91" s="186"/>
      <c r="X91" s="186"/>
      <c r="Y91" s="125"/>
      <c r="Z91" s="125"/>
      <c r="AA91" s="125"/>
      <c r="AB91" s="125"/>
      <c r="AC91" s="125"/>
      <c r="AD91" s="125"/>
      <c r="AE91" s="187"/>
      <c r="AF91" s="125"/>
      <c r="AG91" s="125"/>
      <c r="AH91" s="125"/>
      <c r="AI91" s="125"/>
      <c r="AJ91" s="125"/>
      <c r="AK91" s="125"/>
      <c r="AL91" s="125"/>
    </row>
    <row r="92" ht="15.75" customHeight="1">
      <c r="A92" s="125"/>
      <c r="B92" s="125"/>
      <c r="C92" s="125"/>
      <c r="D92" s="125"/>
      <c r="E92" s="186"/>
      <c r="F92" s="186"/>
      <c r="G92" s="186"/>
      <c r="H92" s="186"/>
      <c r="I92" s="186"/>
      <c r="J92" s="186"/>
      <c r="K92" s="186"/>
      <c r="L92" s="186"/>
      <c r="M92" s="186"/>
      <c r="N92" s="186"/>
      <c r="O92" s="186"/>
      <c r="P92" s="186"/>
      <c r="Q92" s="186"/>
      <c r="R92" s="186"/>
      <c r="S92" s="186"/>
      <c r="T92" s="186"/>
      <c r="U92" s="125"/>
      <c r="V92" s="125"/>
      <c r="W92" s="186"/>
      <c r="X92" s="186"/>
      <c r="Y92" s="125"/>
      <c r="Z92" s="125"/>
      <c r="AA92" s="125"/>
      <c r="AB92" s="125"/>
      <c r="AC92" s="125"/>
      <c r="AD92" s="125"/>
      <c r="AE92" s="187"/>
      <c r="AF92" s="125"/>
      <c r="AG92" s="125"/>
      <c r="AH92" s="125"/>
      <c r="AI92" s="125"/>
      <c r="AJ92" s="125"/>
      <c r="AK92" s="125"/>
      <c r="AL92" s="125"/>
    </row>
    <row r="93" ht="15.75" customHeight="1">
      <c r="A93" s="125"/>
      <c r="B93" s="125"/>
      <c r="C93" s="125"/>
      <c r="D93" s="125"/>
      <c r="E93" s="186"/>
      <c r="F93" s="186"/>
      <c r="G93" s="186"/>
      <c r="H93" s="186"/>
      <c r="I93" s="186"/>
      <c r="J93" s="186"/>
      <c r="K93" s="186"/>
      <c r="L93" s="186"/>
      <c r="M93" s="186"/>
      <c r="N93" s="186"/>
      <c r="O93" s="186"/>
      <c r="P93" s="186"/>
      <c r="Q93" s="186"/>
      <c r="R93" s="186"/>
      <c r="S93" s="186"/>
      <c r="T93" s="186"/>
      <c r="U93" s="125"/>
      <c r="V93" s="125"/>
      <c r="W93" s="186"/>
      <c r="X93" s="186"/>
      <c r="Y93" s="125"/>
      <c r="Z93" s="125"/>
      <c r="AA93" s="125"/>
      <c r="AB93" s="125"/>
      <c r="AC93" s="125"/>
      <c r="AD93" s="125"/>
      <c r="AE93" s="187"/>
      <c r="AF93" s="125"/>
      <c r="AG93" s="125"/>
      <c r="AH93" s="125"/>
      <c r="AI93" s="125"/>
      <c r="AJ93" s="125"/>
      <c r="AK93" s="125"/>
      <c r="AL93" s="125"/>
    </row>
    <row r="94" ht="15.75" customHeight="1">
      <c r="A94" s="125"/>
      <c r="B94" s="125"/>
      <c r="C94" s="125"/>
      <c r="D94" s="125"/>
      <c r="E94" s="186"/>
      <c r="F94" s="186"/>
      <c r="G94" s="186"/>
      <c r="H94" s="186"/>
      <c r="I94" s="186"/>
      <c r="J94" s="186"/>
      <c r="K94" s="186"/>
      <c r="L94" s="186"/>
      <c r="M94" s="186"/>
      <c r="N94" s="186"/>
      <c r="O94" s="186"/>
      <c r="P94" s="186"/>
      <c r="Q94" s="186"/>
      <c r="R94" s="186"/>
      <c r="S94" s="186"/>
      <c r="T94" s="186"/>
      <c r="U94" s="125"/>
      <c r="V94" s="125"/>
      <c r="W94" s="186"/>
      <c r="X94" s="186"/>
      <c r="Y94" s="125"/>
      <c r="Z94" s="125"/>
      <c r="AA94" s="125"/>
      <c r="AB94" s="125"/>
      <c r="AC94" s="125"/>
      <c r="AD94" s="125"/>
      <c r="AE94" s="187"/>
      <c r="AF94" s="125"/>
      <c r="AG94" s="125"/>
      <c r="AH94" s="125"/>
      <c r="AI94" s="125"/>
      <c r="AJ94" s="125"/>
      <c r="AK94" s="125"/>
      <c r="AL94" s="125"/>
    </row>
    <row r="95" ht="15.75" customHeight="1">
      <c r="A95" s="125"/>
      <c r="B95" s="125"/>
      <c r="C95" s="125"/>
      <c r="D95" s="125"/>
      <c r="E95" s="186"/>
      <c r="F95" s="186"/>
      <c r="G95" s="186"/>
      <c r="H95" s="186"/>
      <c r="I95" s="186"/>
      <c r="J95" s="186"/>
      <c r="K95" s="186"/>
      <c r="L95" s="186"/>
      <c r="M95" s="186"/>
      <c r="N95" s="186"/>
      <c r="O95" s="186"/>
      <c r="P95" s="186"/>
      <c r="Q95" s="186"/>
      <c r="R95" s="186"/>
      <c r="S95" s="186"/>
      <c r="T95" s="186"/>
      <c r="U95" s="125"/>
      <c r="V95" s="125"/>
      <c r="W95" s="186"/>
      <c r="X95" s="186"/>
      <c r="Y95" s="125"/>
      <c r="Z95" s="125"/>
      <c r="AA95" s="125"/>
      <c r="AB95" s="125"/>
      <c r="AC95" s="125"/>
      <c r="AD95" s="125"/>
      <c r="AE95" s="187"/>
      <c r="AF95" s="125"/>
      <c r="AG95" s="125"/>
      <c r="AH95" s="125"/>
      <c r="AI95" s="125"/>
      <c r="AJ95" s="125"/>
      <c r="AK95" s="125"/>
      <c r="AL95" s="125"/>
    </row>
    <row r="96" ht="15.75" customHeight="1">
      <c r="A96" s="125"/>
      <c r="B96" s="125"/>
      <c r="C96" s="125"/>
      <c r="D96" s="125"/>
      <c r="E96" s="186"/>
      <c r="F96" s="186"/>
      <c r="G96" s="186"/>
      <c r="H96" s="186"/>
      <c r="I96" s="186"/>
      <c r="J96" s="186"/>
      <c r="K96" s="186"/>
      <c r="L96" s="186"/>
      <c r="M96" s="186"/>
      <c r="N96" s="186"/>
      <c r="O96" s="186"/>
      <c r="P96" s="186"/>
      <c r="Q96" s="186"/>
      <c r="R96" s="186"/>
      <c r="S96" s="186"/>
      <c r="T96" s="186"/>
      <c r="U96" s="125"/>
      <c r="V96" s="125"/>
      <c r="W96" s="186"/>
      <c r="X96" s="186"/>
      <c r="Y96" s="125"/>
      <c r="Z96" s="125"/>
      <c r="AA96" s="125"/>
      <c r="AB96" s="125"/>
      <c r="AC96" s="125"/>
      <c r="AD96" s="125"/>
      <c r="AE96" s="187"/>
      <c r="AF96" s="125"/>
      <c r="AG96" s="125"/>
      <c r="AH96" s="125"/>
      <c r="AI96" s="125"/>
      <c r="AJ96" s="125"/>
      <c r="AK96" s="125"/>
      <c r="AL96" s="125"/>
    </row>
    <row r="97" ht="15.75" customHeight="1">
      <c r="A97" s="125"/>
      <c r="B97" s="125"/>
      <c r="C97" s="125"/>
      <c r="D97" s="125"/>
      <c r="E97" s="186"/>
      <c r="F97" s="186"/>
      <c r="G97" s="186"/>
      <c r="H97" s="186"/>
      <c r="I97" s="186"/>
      <c r="J97" s="186"/>
      <c r="K97" s="186"/>
      <c r="L97" s="186"/>
      <c r="M97" s="186"/>
      <c r="N97" s="186"/>
      <c r="O97" s="186"/>
      <c r="P97" s="186"/>
      <c r="Q97" s="186"/>
      <c r="R97" s="186"/>
      <c r="S97" s="186"/>
      <c r="T97" s="186"/>
      <c r="U97" s="125"/>
      <c r="V97" s="125"/>
      <c r="W97" s="186"/>
      <c r="X97" s="186"/>
      <c r="Y97" s="125"/>
      <c r="Z97" s="125"/>
      <c r="AA97" s="125"/>
      <c r="AB97" s="125"/>
      <c r="AC97" s="125"/>
      <c r="AD97" s="125"/>
      <c r="AE97" s="187"/>
      <c r="AF97" s="125"/>
      <c r="AG97" s="125"/>
      <c r="AH97" s="125"/>
      <c r="AI97" s="125"/>
      <c r="AJ97" s="125"/>
      <c r="AK97" s="125"/>
      <c r="AL97" s="125"/>
    </row>
    <row r="98" ht="15.75" customHeight="1">
      <c r="A98" s="125"/>
      <c r="B98" s="125"/>
      <c r="C98" s="125"/>
      <c r="D98" s="125"/>
      <c r="E98" s="186"/>
      <c r="F98" s="186"/>
      <c r="G98" s="186"/>
      <c r="H98" s="186"/>
      <c r="I98" s="186"/>
      <c r="J98" s="186"/>
      <c r="K98" s="186"/>
      <c r="L98" s="186"/>
      <c r="M98" s="186"/>
      <c r="N98" s="186"/>
      <c r="O98" s="186"/>
      <c r="P98" s="186"/>
      <c r="Q98" s="186"/>
      <c r="R98" s="186"/>
      <c r="S98" s="186"/>
      <c r="T98" s="186"/>
      <c r="U98" s="125"/>
      <c r="V98" s="125"/>
      <c r="W98" s="186"/>
      <c r="X98" s="186"/>
      <c r="Y98" s="125"/>
      <c r="Z98" s="125"/>
      <c r="AA98" s="125"/>
      <c r="AB98" s="125"/>
      <c r="AC98" s="125"/>
      <c r="AD98" s="125"/>
      <c r="AE98" s="187"/>
      <c r="AF98" s="125"/>
      <c r="AG98" s="125"/>
      <c r="AH98" s="125"/>
      <c r="AI98" s="125"/>
      <c r="AJ98" s="125"/>
      <c r="AK98" s="125"/>
      <c r="AL98" s="125"/>
    </row>
    <row r="99" ht="15.75" customHeight="1">
      <c r="A99" s="125"/>
      <c r="B99" s="125"/>
      <c r="C99" s="125"/>
      <c r="D99" s="125"/>
      <c r="E99" s="186"/>
      <c r="F99" s="186"/>
      <c r="G99" s="186"/>
      <c r="H99" s="186"/>
      <c r="I99" s="186"/>
      <c r="J99" s="186"/>
      <c r="K99" s="186"/>
      <c r="L99" s="186"/>
      <c r="M99" s="186"/>
      <c r="N99" s="186"/>
      <c r="O99" s="186"/>
      <c r="P99" s="186"/>
      <c r="Q99" s="186"/>
      <c r="R99" s="186"/>
      <c r="S99" s="186"/>
      <c r="T99" s="186"/>
      <c r="U99" s="125"/>
      <c r="V99" s="125"/>
      <c r="W99" s="186"/>
      <c r="X99" s="186"/>
      <c r="Y99" s="125"/>
      <c r="Z99" s="125"/>
      <c r="AA99" s="125"/>
      <c r="AB99" s="125"/>
      <c r="AC99" s="125"/>
      <c r="AD99" s="125"/>
      <c r="AE99" s="187"/>
      <c r="AF99" s="125"/>
      <c r="AG99" s="125"/>
      <c r="AH99" s="125"/>
      <c r="AI99" s="125"/>
      <c r="AJ99" s="125"/>
      <c r="AK99" s="125"/>
      <c r="AL99" s="125"/>
    </row>
    <row r="100" ht="15.75" customHeight="1">
      <c r="A100" s="125"/>
      <c r="B100" s="125"/>
      <c r="C100" s="125"/>
      <c r="D100" s="125"/>
      <c r="E100" s="186"/>
      <c r="F100" s="186"/>
      <c r="G100" s="186"/>
      <c r="H100" s="186"/>
      <c r="I100" s="186"/>
      <c r="J100" s="186"/>
      <c r="K100" s="186"/>
      <c r="L100" s="186"/>
      <c r="M100" s="186"/>
      <c r="N100" s="186"/>
      <c r="O100" s="186"/>
      <c r="P100" s="186"/>
      <c r="Q100" s="186"/>
      <c r="R100" s="186"/>
      <c r="S100" s="186"/>
      <c r="T100" s="186"/>
      <c r="U100" s="125"/>
      <c r="V100" s="125"/>
      <c r="W100" s="186"/>
      <c r="X100" s="186"/>
      <c r="Y100" s="125"/>
      <c r="Z100" s="125"/>
      <c r="AA100" s="125"/>
      <c r="AB100" s="125"/>
      <c r="AC100" s="125"/>
      <c r="AD100" s="125"/>
      <c r="AE100" s="187"/>
      <c r="AF100" s="125"/>
      <c r="AG100" s="125"/>
      <c r="AH100" s="125"/>
      <c r="AI100" s="125"/>
      <c r="AJ100" s="125"/>
      <c r="AK100" s="125"/>
      <c r="AL100" s="125"/>
    </row>
    <row r="101" ht="15.75" customHeight="1">
      <c r="A101" s="125"/>
      <c r="B101" s="125"/>
      <c r="C101" s="125"/>
      <c r="D101" s="125"/>
      <c r="E101" s="186"/>
      <c r="F101" s="186"/>
      <c r="G101" s="186"/>
      <c r="H101" s="186"/>
      <c r="I101" s="186"/>
      <c r="J101" s="186"/>
      <c r="K101" s="186"/>
      <c r="L101" s="186"/>
      <c r="M101" s="186"/>
      <c r="N101" s="186"/>
      <c r="O101" s="186"/>
      <c r="P101" s="186"/>
      <c r="Q101" s="186"/>
      <c r="R101" s="186"/>
      <c r="S101" s="186"/>
      <c r="T101" s="186"/>
      <c r="U101" s="125"/>
      <c r="V101" s="125"/>
      <c r="W101" s="186"/>
      <c r="X101" s="186"/>
      <c r="Y101" s="125"/>
      <c r="Z101" s="125"/>
      <c r="AA101" s="125"/>
      <c r="AB101" s="125"/>
      <c r="AC101" s="125"/>
      <c r="AD101" s="125"/>
      <c r="AE101" s="187"/>
      <c r="AF101" s="125"/>
      <c r="AG101" s="125"/>
      <c r="AH101" s="125"/>
      <c r="AI101" s="125"/>
      <c r="AJ101" s="125"/>
      <c r="AK101" s="125"/>
      <c r="AL101" s="125"/>
    </row>
    <row r="102" ht="15.75" customHeight="1">
      <c r="A102" s="125"/>
      <c r="B102" s="125"/>
      <c r="C102" s="125"/>
      <c r="D102" s="125"/>
      <c r="E102" s="186"/>
      <c r="F102" s="186"/>
      <c r="G102" s="186"/>
      <c r="H102" s="186"/>
      <c r="I102" s="186"/>
      <c r="J102" s="186"/>
      <c r="K102" s="186"/>
      <c r="L102" s="186"/>
      <c r="M102" s="186"/>
      <c r="N102" s="186"/>
      <c r="O102" s="186"/>
      <c r="P102" s="186"/>
      <c r="Q102" s="186"/>
      <c r="R102" s="186"/>
      <c r="S102" s="186"/>
      <c r="T102" s="186"/>
      <c r="U102" s="125"/>
      <c r="V102" s="125"/>
      <c r="W102" s="186"/>
      <c r="X102" s="186"/>
      <c r="Y102" s="125"/>
      <c r="Z102" s="125"/>
      <c r="AA102" s="125"/>
      <c r="AB102" s="125"/>
      <c r="AC102" s="125"/>
      <c r="AD102" s="125"/>
      <c r="AE102" s="187"/>
      <c r="AF102" s="125"/>
      <c r="AG102" s="125"/>
      <c r="AH102" s="125"/>
      <c r="AI102" s="125"/>
      <c r="AJ102" s="125"/>
      <c r="AK102" s="125"/>
      <c r="AL102" s="125"/>
    </row>
    <row r="103" ht="15.75" customHeight="1">
      <c r="A103" s="125"/>
      <c r="B103" s="125"/>
      <c r="C103" s="125"/>
      <c r="D103" s="125"/>
      <c r="E103" s="186"/>
      <c r="F103" s="186"/>
      <c r="G103" s="186"/>
      <c r="H103" s="186"/>
      <c r="I103" s="186"/>
      <c r="J103" s="186"/>
      <c r="K103" s="186"/>
      <c r="L103" s="186"/>
      <c r="M103" s="186"/>
      <c r="N103" s="186"/>
      <c r="O103" s="186"/>
      <c r="P103" s="186"/>
      <c r="Q103" s="186"/>
      <c r="R103" s="186"/>
      <c r="S103" s="186"/>
      <c r="T103" s="186"/>
      <c r="U103" s="125"/>
      <c r="V103" s="125"/>
      <c r="W103" s="186"/>
      <c r="X103" s="186"/>
      <c r="Y103" s="125"/>
      <c r="Z103" s="125"/>
      <c r="AA103" s="125"/>
      <c r="AB103" s="125"/>
      <c r="AC103" s="125"/>
      <c r="AD103" s="125"/>
      <c r="AE103" s="187"/>
      <c r="AF103" s="125"/>
      <c r="AG103" s="125"/>
      <c r="AH103" s="125"/>
      <c r="AI103" s="125"/>
      <c r="AJ103" s="125"/>
      <c r="AK103" s="125"/>
      <c r="AL103" s="125"/>
    </row>
    <row r="104" ht="15.75" customHeight="1">
      <c r="A104" s="125"/>
      <c r="B104" s="125"/>
      <c r="C104" s="125"/>
      <c r="D104" s="125"/>
      <c r="E104" s="186"/>
      <c r="F104" s="186"/>
      <c r="G104" s="186"/>
      <c r="H104" s="186"/>
      <c r="I104" s="186"/>
      <c r="J104" s="186"/>
      <c r="K104" s="186"/>
      <c r="L104" s="186"/>
      <c r="M104" s="186"/>
      <c r="N104" s="186"/>
      <c r="O104" s="186"/>
      <c r="P104" s="186"/>
      <c r="Q104" s="186"/>
      <c r="R104" s="186"/>
      <c r="S104" s="186"/>
      <c r="T104" s="186"/>
      <c r="U104" s="125"/>
      <c r="V104" s="125"/>
      <c r="W104" s="186"/>
      <c r="X104" s="186"/>
      <c r="Y104" s="125"/>
      <c r="Z104" s="125"/>
      <c r="AA104" s="125"/>
      <c r="AB104" s="125"/>
      <c r="AC104" s="125"/>
      <c r="AD104" s="125"/>
      <c r="AE104" s="187"/>
      <c r="AF104" s="125"/>
      <c r="AG104" s="125"/>
      <c r="AH104" s="125"/>
      <c r="AI104" s="125"/>
      <c r="AJ104" s="125"/>
      <c r="AK104" s="125"/>
      <c r="AL104" s="125"/>
    </row>
    <row r="105" ht="15.75" customHeight="1">
      <c r="A105" s="125"/>
      <c r="B105" s="125"/>
      <c r="C105" s="125"/>
      <c r="D105" s="125"/>
      <c r="E105" s="186"/>
      <c r="F105" s="186"/>
      <c r="G105" s="186"/>
      <c r="H105" s="186"/>
      <c r="I105" s="186"/>
      <c r="J105" s="186"/>
      <c r="K105" s="186"/>
      <c r="L105" s="186"/>
      <c r="M105" s="186"/>
      <c r="N105" s="186"/>
      <c r="O105" s="186"/>
      <c r="P105" s="186"/>
      <c r="Q105" s="186"/>
      <c r="R105" s="186"/>
      <c r="S105" s="186"/>
      <c r="T105" s="186"/>
      <c r="U105" s="125"/>
      <c r="V105" s="125"/>
      <c r="W105" s="186"/>
      <c r="X105" s="186"/>
      <c r="Y105" s="125"/>
      <c r="Z105" s="125"/>
      <c r="AA105" s="125"/>
      <c r="AB105" s="125"/>
      <c r="AC105" s="125"/>
      <c r="AD105" s="125"/>
      <c r="AE105" s="187"/>
      <c r="AF105" s="125"/>
      <c r="AG105" s="125"/>
      <c r="AH105" s="125"/>
      <c r="AI105" s="125"/>
      <c r="AJ105" s="125"/>
      <c r="AK105" s="125"/>
      <c r="AL105" s="125"/>
    </row>
    <row r="106" ht="15.75" customHeight="1">
      <c r="A106" s="125"/>
      <c r="B106" s="125"/>
      <c r="C106" s="125"/>
      <c r="D106" s="125"/>
      <c r="E106" s="186"/>
      <c r="F106" s="186"/>
      <c r="G106" s="186"/>
      <c r="H106" s="186"/>
      <c r="I106" s="186"/>
      <c r="J106" s="186"/>
      <c r="K106" s="186"/>
      <c r="L106" s="186"/>
      <c r="M106" s="186"/>
      <c r="N106" s="186"/>
      <c r="O106" s="186"/>
      <c r="P106" s="186"/>
      <c r="Q106" s="186"/>
      <c r="R106" s="186"/>
      <c r="S106" s="186"/>
      <c r="T106" s="186"/>
      <c r="U106" s="125"/>
      <c r="V106" s="125"/>
      <c r="W106" s="186"/>
      <c r="X106" s="186"/>
      <c r="Y106" s="125"/>
      <c r="Z106" s="125"/>
      <c r="AA106" s="125"/>
      <c r="AB106" s="125"/>
      <c r="AC106" s="125"/>
      <c r="AD106" s="125"/>
      <c r="AE106" s="187"/>
      <c r="AF106" s="125"/>
      <c r="AG106" s="125"/>
      <c r="AH106" s="125"/>
      <c r="AI106" s="125"/>
      <c r="AJ106" s="125"/>
      <c r="AK106" s="125"/>
      <c r="AL106" s="125"/>
    </row>
    <row r="107" ht="15.75" customHeight="1">
      <c r="A107" s="125"/>
      <c r="B107" s="125"/>
      <c r="C107" s="125"/>
      <c r="D107" s="125"/>
      <c r="E107" s="186"/>
      <c r="F107" s="186"/>
      <c r="G107" s="186"/>
      <c r="H107" s="186"/>
      <c r="I107" s="186"/>
      <c r="J107" s="186"/>
      <c r="K107" s="186"/>
      <c r="L107" s="186"/>
      <c r="M107" s="186"/>
      <c r="N107" s="186"/>
      <c r="O107" s="186"/>
      <c r="P107" s="186"/>
      <c r="Q107" s="186"/>
      <c r="R107" s="186"/>
      <c r="S107" s="186"/>
      <c r="T107" s="186"/>
      <c r="U107" s="125"/>
      <c r="V107" s="125"/>
      <c r="W107" s="186"/>
      <c r="X107" s="186"/>
      <c r="Y107" s="125"/>
      <c r="Z107" s="125"/>
      <c r="AA107" s="125"/>
      <c r="AB107" s="125"/>
      <c r="AC107" s="125"/>
      <c r="AD107" s="125"/>
      <c r="AE107" s="187"/>
      <c r="AF107" s="125"/>
      <c r="AG107" s="125"/>
      <c r="AH107" s="125"/>
      <c r="AI107" s="125"/>
      <c r="AJ107" s="125"/>
      <c r="AK107" s="125"/>
      <c r="AL107" s="125"/>
    </row>
    <row r="108" ht="15.75" customHeight="1">
      <c r="A108" s="125"/>
      <c r="B108" s="125"/>
      <c r="C108" s="125"/>
      <c r="D108" s="125"/>
      <c r="E108" s="186"/>
      <c r="F108" s="186"/>
      <c r="G108" s="186"/>
      <c r="H108" s="186"/>
      <c r="I108" s="186"/>
      <c r="J108" s="186"/>
      <c r="K108" s="186"/>
      <c r="L108" s="186"/>
      <c r="M108" s="186"/>
      <c r="N108" s="186"/>
      <c r="O108" s="186"/>
      <c r="P108" s="186"/>
      <c r="Q108" s="186"/>
      <c r="R108" s="186"/>
      <c r="S108" s="186"/>
      <c r="T108" s="186"/>
      <c r="U108" s="125"/>
      <c r="V108" s="125"/>
      <c r="W108" s="186"/>
      <c r="X108" s="186"/>
      <c r="Y108" s="125"/>
      <c r="Z108" s="125"/>
      <c r="AA108" s="125"/>
      <c r="AB108" s="125"/>
      <c r="AC108" s="125"/>
      <c r="AD108" s="125"/>
      <c r="AE108" s="187"/>
      <c r="AF108" s="125"/>
      <c r="AG108" s="125"/>
      <c r="AH108" s="125"/>
      <c r="AI108" s="125"/>
      <c r="AJ108" s="125"/>
      <c r="AK108" s="125"/>
      <c r="AL108" s="125"/>
    </row>
    <row r="109" ht="15.75" customHeight="1">
      <c r="A109" s="125"/>
      <c r="B109" s="125"/>
      <c r="C109" s="125"/>
      <c r="D109" s="125"/>
      <c r="E109" s="186"/>
      <c r="F109" s="186"/>
      <c r="G109" s="186"/>
      <c r="H109" s="186"/>
      <c r="I109" s="186"/>
      <c r="J109" s="186"/>
      <c r="K109" s="186"/>
      <c r="L109" s="186"/>
      <c r="M109" s="186"/>
      <c r="N109" s="186"/>
      <c r="O109" s="186"/>
      <c r="P109" s="186"/>
      <c r="Q109" s="186"/>
      <c r="R109" s="186"/>
      <c r="S109" s="186"/>
      <c r="T109" s="186"/>
      <c r="U109" s="125"/>
      <c r="V109" s="125"/>
      <c r="W109" s="186"/>
      <c r="X109" s="186"/>
      <c r="Y109" s="125"/>
      <c r="Z109" s="125"/>
      <c r="AA109" s="125"/>
      <c r="AB109" s="125"/>
      <c r="AC109" s="125"/>
      <c r="AD109" s="125"/>
      <c r="AE109" s="187"/>
      <c r="AF109" s="125"/>
      <c r="AG109" s="125"/>
      <c r="AH109" s="125"/>
      <c r="AI109" s="125"/>
      <c r="AJ109" s="125"/>
      <c r="AK109" s="125"/>
      <c r="AL109" s="125"/>
    </row>
    <row r="110" ht="15.75" customHeight="1">
      <c r="A110" s="125"/>
      <c r="B110" s="125"/>
      <c r="C110" s="125"/>
      <c r="D110" s="125"/>
      <c r="E110" s="186"/>
      <c r="F110" s="186"/>
      <c r="G110" s="186"/>
      <c r="H110" s="186"/>
      <c r="I110" s="186"/>
      <c r="J110" s="186"/>
      <c r="K110" s="186"/>
      <c r="L110" s="186"/>
      <c r="M110" s="186"/>
      <c r="N110" s="186"/>
      <c r="O110" s="186"/>
      <c r="P110" s="186"/>
      <c r="Q110" s="186"/>
      <c r="R110" s="186"/>
      <c r="S110" s="186"/>
      <c r="T110" s="186"/>
      <c r="U110" s="125"/>
      <c r="V110" s="125"/>
      <c r="W110" s="186"/>
      <c r="X110" s="186"/>
      <c r="Y110" s="125"/>
      <c r="Z110" s="125"/>
      <c r="AA110" s="125"/>
      <c r="AB110" s="125"/>
      <c r="AC110" s="125"/>
      <c r="AD110" s="125"/>
      <c r="AE110" s="187"/>
      <c r="AF110" s="125"/>
      <c r="AG110" s="125"/>
      <c r="AH110" s="125"/>
      <c r="AI110" s="125"/>
      <c r="AJ110" s="125"/>
      <c r="AK110" s="125"/>
      <c r="AL110" s="125"/>
    </row>
    <row r="111" ht="15.75" customHeight="1">
      <c r="A111" s="125"/>
      <c r="B111" s="125"/>
      <c r="C111" s="125"/>
      <c r="D111" s="125"/>
      <c r="E111" s="186"/>
      <c r="F111" s="186"/>
      <c r="G111" s="186"/>
      <c r="H111" s="186"/>
      <c r="I111" s="186"/>
      <c r="J111" s="186"/>
      <c r="K111" s="186"/>
      <c r="L111" s="186"/>
      <c r="M111" s="186"/>
      <c r="N111" s="186"/>
      <c r="O111" s="186"/>
      <c r="P111" s="186"/>
      <c r="Q111" s="186"/>
      <c r="R111" s="186"/>
      <c r="S111" s="186"/>
      <c r="T111" s="186"/>
      <c r="U111" s="125"/>
      <c r="V111" s="125"/>
      <c r="W111" s="186"/>
      <c r="X111" s="186"/>
      <c r="Y111" s="125"/>
      <c r="Z111" s="125"/>
      <c r="AA111" s="125"/>
      <c r="AB111" s="125"/>
      <c r="AC111" s="125"/>
      <c r="AD111" s="125"/>
      <c r="AE111" s="187"/>
      <c r="AF111" s="125"/>
      <c r="AG111" s="125"/>
      <c r="AH111" s="125"/>
      <c r="AI111" s="125"/>
      <c r="AJ111" s="125"/>
      <c r="AK111" s="125"/>
      <c r="AL111" s="125"/>
    </row>
    <row r="112" ht="15.75" customHeight="1">
      <c r="A112" s="125"/>
      <c r="B112" s="125"/>
      <c r="C112" s="125"/>
      <c r="D112" s="125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25"/>
      <c r="V112" s="125"/>
      <c r="W112" s="186"/>
      <c r="X112" s="186"/>
      <c r="Y112" s="125"/>
      <c r="Z112" s="125"/>
      <c r="AA112" s="125"/>
      <c r="AB112" s="125"/>
      <c r="AC112" s="125"/>
      <c r="AD112" s="125"/>
      <c r="AE112" s="187"/>
      <c r="AF112" s="125"/>
      <c r="AG112" s="125"/>
      <c r="AH112" s="125"/>
      <c r="AI112" s="125"/>
      <c r="AJ112" s="125"/>
      <c r="AK112" s="125"/>
      <c r="AL112" s="125"/>
    </row>
    <row r="113" ht="15.75" customHeight="1">
      <c r="A113" s="125"/>
      <c r="B113" s="125"/>
      <c r="C113" s="125"/>
      <c r="D113" s="125"/>
      <c r="E113" s="186"/>
      <c r="F113" s="186"/>
      <c r="G113" s="186"/>
      <c r="H113" s="186"/>
      <c r="I113" s="186"/>
      <c r="J113" s="186"/>
      <c r="K113" s="186"/>
      <c r="L113" s="186"/>
      <c r="M113" s="186"/>
      <c r="N113" s="186"/>
      <c r="O113" s="186"/>
      <c r="P113" s="186"/>
      <c r="Q113" s="186"/>
      <c r="R113" s="186"/>
      <c r="S113" s="186"/>
      <c r="T113" s="186"/>
      <c r="U113" s="125"/>
      <c r="V113" s="125"/>
      <c r="W113" s="186"/>
      <c r="X113" s="186"/>
      <c r="Y113" s="125"/>
      <c r="Z113" s="125"/>
      <c r="AA113" s="125"/>
      <c r="AB113" s="125"/>
      <c r="AC113" s="125"/>
      <c r="AD113" s="125"/>
      <c r="AE113" s="187"/>
      <c r="AF113" s="125"/>
      <c r="AG113" s="125"/>
      <c r="AH113" s="125"/>
      <c r="AI113" s="125"/>
      <c r="AJ113" s="125"/>
      <c r="AK113" s="125"/>
      <c r="AL113" s="125"/>
    </row>
    <row r="114" ht="15.75" customHeight="1">
      <c r="A114" s="125"/>
      <c r="B114" s="125"/>
      <c r="C114" s="125"/>
      <c r="D114" s="125"/>
      <c r="E114" s="186"/>
      <c r="F114" s="186"/>
      <c r="G114" s="186"/>
      <c r="H114" s="186"/>
      <c r="I114" s="186"/>
      <c r="J114" s="186"/>
      <c r="K114" s="186"/>
      <c r="L114" s="186"/>
      <c r="M114" s="186"/>
      <c r="N114" s="186"/>
      <c r="O114" s="186"/>
      <c r="P114" s="186"/>
      <c r="Q114" s="186"/>
      <c r="R114" s="186"/>
      <c r="S114" s="186"/>
      <c r="T114" s="186"/>
      <c r="U114" s="125"/>
      <c r="V114" s="125"/>
      <c r="W114" s="186"/>
      <c r="X114" s="186"/>
      <c r="Y114" s="125"/>
      <c r="Z114" s="125"/>
      <c r="AA114" s="125"/>
      <c r="AB114" s="125"/>
      <c r="AC114" s="125"/>
      <c r="AD114" s="125"/>
      <c r="AE114" s="187"/>
      <c r="AF114" s="125"/>
      <c r="AG114" s="125"/>
      <c r="AH114" s="125"/>
      <c r="AI114" s="125"/>
      <c r="AJ114" s="125"/>
      <c r="AK114" s="125"/>
      <c r="AL114" s="125"/>
    </row>
    <row r="115" ht="15.75" customHeight="1">
      <c r="A115" s="125"/>
      <c r="B115" s="125"/>
      <c r="C115" s="125"/>
      <c r="D115" s="125"/>
      <c r="E115" s="186"/>
      <c r="F115" s="186"/>
      <c r="G115" s="186"/>
      <c r="H115" s="186"/>
      <c r="I115" s="186"/>
      <c r="J115" s="186"/>
      <c r="K115" s="186"/>
      <c r="L115" s="186"/>
      <c r="M115" s="186"/>
      <c r="N115" s="186"/>
      <c r="O115" s="186"/>
      <c r="P115" s="186"/>
      <c r="Q115" s="186"/>
      <c r="R115" s="186"/>
      <c r="S115" s="186"/>
      <c r="T115" s="186"/>
      <c r="U115" s="125"/>
      <c r="V115" s="125"/>
      <c r="W115" s="186"/>
      <c r="X115" s="186"/>
      <c r="Y115" s="125"/>
      <c r="Z115" s="125"/>
      <c r="AA115" s="125"/>
      <c r="AB115" s="125"/>
      <c r="AC115" s="125"/>
      <c r="AD115" s="125"/>
      <c r="AE115" s="187"/>
      <c r="AF115" s="125"/>
      <c r="AG115" s="125"/>
      <c r="AH115" s="125"/>
      <c r="AI115" s="125"/>
      <c r="AJ115" s="125"/>
      <c r="AK115" s="125"/>
      <c r="AL115" s="125"/>
    </row>
    <row r="116" ht="15.75" customHeight="1">
      <c r="A116" s="125"/>
      <c r="B116" s="125"/>
      <c r="C116" s="125"/>
      <c r="D116" s="125"/>
      <c r="E116" s="186"/>
      <c r="F116" s="186"/>
      <c r="G116" s="186"/>
      <c r="H116" s="186"/>
      <c r="I116" s="186"/>
      <c r="J116" s="186"/>
      <c r="K116" s="186"/>
      <c r="L116" s="186"/>
      <c r="M116" s="186"/>
      <c r="N116" s="186"/>
      <c r="O116" s="186"/>
      <c r="P116" s="186"/>
      <c r="Q116" s="186"/>
      <c r="R116" s="186"/>
      <c r="S116" s="186"/>
      <c r="T116" s="186"/>
      <c r="U116" s="125"/>
      <c r="V116" s="125"/>
      <c r="W116" s="186"/>
      <c r="X116" s="186"/>
      <c r="Y116" s="125"/>
      <c r="Z116" s="125"/>
      <c r="AA116" s="125"/>
      <c r="AB116" s="125"/>
      <c r="AC116" s="125"/>
      <c r="AD116" s="125"/>
      <c r="AE116" s="187"/>
      <c r="AF116" s="125"/>
      <c r="AG116" s="125"/>
      <c r="AH116" s="125"/>
      <c r="AI116" s="125"/>
      <c r="AJ116" s="125"/>
      <c r="AK116" s="125"/>
      <c r="AL116" s="125"/>
    </row>
    <row r="117" ht="15.75" customHeight="1">
      <c r="A117" s="125"/>
      <c r="B117" s="125"/>
      <c r="C117" s="125"/>
      <c r="D117" s="125"/>
      <c r="E117" s="186"/>
      <c r="F117" s="186"/>
      <c r="G117" s="186"/>
      <c r="H117" s="186"/>
      <c r="I117" s="186"/>
      <c r="J117" s="186"/>
      <c r="K117" s="186"/>
      <c r="L117" s="186"/>
      <c r="M117" s="186"/>
      <c r="N117" s="186"/>
      <c r="O117" s="186"/>
      <c r="P117" s="186"/>
      <c r="Q117" s="186"/>
      <c r="R117" s="186"/>
      <c r="S117" s="186"/>
      <c r="T117" s="186"/>
      <c r="U117" s="125"/>
      <c r="V117" s="125"/>
      <c r="W117" s="186"/>
      <c r="X117" s="186"/>
      <c r="Y117" s="125"/>
      <c r="Z117" s="125"/>
      <c r="AA117" s="125"/>
      <c r="AB117" s="125"/>
      <c r="AC117" s="125"/>
      <c r="AD117" s="125"/>
      <c r="AE117" s="187"/>
      <c r="AF117" s="125"/>
      <c r="AG117" s="125"/>
      <c r="AH117" s="125"/>
      <c r="AI117" s="125"/>
      <c r="AJ117" s="125"/>
      <c r="AK117" s="125"/>
      <c r="AL117" s="125"/>
    </row>
    <row r="118" ht="15.75" customHeight="1">
      <c r="A118" s="125"/>
      <c r="B118" s="125"/>
      <c r="C118" s="125"/>
      <c r="D118" s="125"/>
      <c r="E118" s="186"/>
      <c r="F118" s="186"/>
      <c r="G118" s="186"/>
      <c r="H118" s="186"/>
      <c r="I118" s="186"/>
      <c r="J118" s="186"/>
      <c r="K118" s="186"/>
      <c r="L118" s="186"/>
      <c r="M118" s="186"/>
      <c r="N118" s="186"/>
      <c r="O118" s="186"/>
      <c r="P118" s="186"/>
      <c r="Q118" s="186"/>
      <c r="R118" s="186"/>
      <c r="S118" s="186"/>
      <c r="T118" s="186"/>
      <c r="U118" s="125"/>
      <c r="V118" s="125"/>
      <c r="W118" s="186"/>
      <c r="X118" s="186"/>
      <c r="Y118" s="125"/>
      <c r="Z118" s="125"/>
      <c r="AA118" s="125"/>
      <c r="AB118" s="125"/>
      <c r="AC118" s="125"/>
      <c r="AD118" s="125"/>
      <c r="AE118" s="187"/>
      <c r="AF118" s="125"/>
      <c r="AG118" s="125"/>
      <c r="AH118" s="125"/>
      <c r="AI118" s="125"/>
      <c r="AJ118" s="125"/>
      <c r="AK118" s="125"/>
      <c r="AL118" s="125"/>
    </row>
    <row r="119" ht="15.75" customHeight="1">
      <c r="A119" s="125"/>
      <c r="B119" s="125"/>
      <c r="C119" s="125"/>
      <c r="D119" s="125"/>
      <c r="E119" s="186"/>
      <c r="F119" s="186"/>
      <c r="G119" s="186"/>
      <c r="H119" s="186"/>
      <c r="I119" s="186"/>
      <c r="J119" s="186"/>
      <c r="K119" s="186"/>
      <c r="L119" s="186"/>
      <c r="M119" s="186"/>
      <c r="N119" s="186"/>
      <c r="O119" s="186"/>
      <c r="P119" s="186"/>
      <c r="Q119" s="186"/>
      <c r="R119" s="186"/>
      <c r="S119" s="186"/>
      <c r="T119" s="186"/>
      <c r="U119" s="125"/>
      <c r="V119" s="125"/>
      <c r="W119" s="186"/>
      <c r="X119" s="186"/>
      <c r="Y119" s="125"/>
      <c r="Z119" s="125"/>
      <c r="AA119" s="125"/>
      <c r="AB119" s="125"/>
      <c r="AC119" s="125"/>
      <c r="AD119" s="125"/>
      <c r="AE119" s="187"/>
      <c r="AF119" s="125"/>
      <c r="AG119" s="125"/>
      <c r="AH119" s="125"/>
      <c r="AI119" s="125"/>
      <c r="AJ119" s="125"/>
      <c r="AK119" s="125"/>
      <c r="AL119" s="125"/>
    </row>
    <row r="120" ht="15.75" customHeight="1">
      <c r="A120" s="125"/>
      <c r="B120" s="125"/>
      <c r="C120" s="125"/>
      <c r="D120" s="125"/>
      <c r="E120" s="186"/>
      <c r="F120" s="186"/>
      <c r="G120" s="186"/>
      <c r="H120" s="186"/>
      <c r="I120" s="186"/>
      <c r="J120" s="186"/>
      <c r="K120" s="186"/>
      <c r="L120" s="186"/>
      <c r="M120" s="186"/>
      <c r="N120" s="186"/>
      <c r="O120" s="186"/>
      <c r="P120" s="186"/>
      <c r="Q120" s="186"/>
      <c r="R120" s="186"/>
      <c r="S120" s="186"/>
      <c r="T120" s="186"/>
      <c r="U120" s="125"/>
      <c r="V120" s="125"/>
      <c r="W120" s="186"/>
      <c r="X120" s="186"/>
      <c r="Y120" s="125"/>
      <c r="Z120" s="125"/>
      <c r="AA120" s="125"/>
      <c r="AB120" s="125"/>
      <c r="AC120" s="125"/>
      <c r="AD120" s="125"/>
      <c r="AE120" s="187"/>
      <c r="AF120" s="125"/>
      <c r="AG120" s="125"/>
      <c r="AH120" s="125"/>
      <c r="AI120" s="125"/>
      <c r="AJ120" s="125"/>
      <c r="AK120" s="125"/>
      <c r="AL120" s="125"/>
    </row>
    <row r="121" ht="15.75" customHeight="1">
      <c r="A121" s="125"/>
      <c r="B121" s="125"/>
      <c r="C121" s="125"/>
      <c r="D121" s="125"/>
      <c r="E121" s="186"/>
      <c r="F121" s="186"/>
      <c r="G121" s="186"/>
      <c r="H121" s="186"/>
      <c r="I121" s="186"/>
      <c r="J121" s="186"/>
      <c r="K121" s="186"/>
      <c r="L121" s="186"/>
      <c r="M121" s="186"/>
      <c r="N121" s="186"/>
      <c r="O121" s="186"/>
      <c r="P121" s="186"/>
      <c r="Q121" s="186"/>
      <c r="R121" s="186"/>
      <c r="S121" s="186"/>
      <c r="T121" s="186"/>
      <c r="U121" s="125"/>
      <c r="V121" s="125"/>
      <c r="W121" s="186"/>
      <c r="X121" s="186"/>
      <c r="Y121" s="125"/>
      <c r="Z121" s="125"/>
      <c r="AA121" s="125"/>
      <c r="AB121" s="125"/>
      <c r="AC121" s="125"/>
      <c r="AD121" s="125"/>
      <c r="AE121" s="187"/>
      <c r="AF121" s="125"/>
      <c r="AG121" s="125"/>
      <c r="AH121" s="125"/>
      <c r="AI121" s="125"/>
      <c r="AJ121" s="125"/>
      <c r="AK121" s="125"/>
      <c r="AL121" s="125"/>
    </row>
    <row r="122" ht="15.75" customHeight="1">
      <c r="A122" s="125"/>
      <c r="B122" s="125"/>
      <c r="C122" s="125"/>
      <c r="D122" s="125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25"/>
      <c r="V122" s="125"/>
      <c r="W122" s="186"/>
      <c r="X122" s="186"/>
      <c r="Y122" s="125"/>
      <c r="Z122" s="125"/>
      <c r="AA122" s="125"/>
      <c r="AB122" s="125"/>
      <c r="AC122" s="125"/>
      <c r="AD122" s="125"/>
      <c r="AE122" s="187"/>
      <c r="AF122" s="125"/>
      <c r="AG122" s="125"/>
      <c r="AH122" s="125"/>
      <c r="AI122" s="125"/>
      <c r="AJ122" s="125"/>
      <c r="AK122" s="125"/>
      <c r="AL122" s="125"/>
    </row>
    <row r="123" ht="15.75" customHeight="1">
      <c r="A123" s="125"/>
      <c r="B123" s="125"/>
      <c r="C123" s="125"/>
      <c r="D123" s="125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25"/>
      <c r="V123" s="125"/>
      <c r="W123" s="186"/>
      <c r="X123" s="186"/>
      <c r="Y123" s="125"/>
      <c r="Z123" s="125"/>
      <c r="AA123" s="125"/>
      <c r="AB123" s="125"/>
      <c r="AC123" s="125"/>
      <c r="AD123" s="125"/>
      <c r="AE123" s="187"/>
      <c r="AF123" s="125"/>
      <c r="AG123" s="125"/>
      <c r="AH123" s="125"/>
      <c r="AI123" s="125"/>
      <c r="AJ123" s="125"/>
      <c r="AK123" s="125"/>
      <c r="AL123" s="125"/>
    </row>
    <row r="124" ht="15.75" customHeight="1">
      <c r="A124" s="125"/>
      <c r="B124" s="125"/>
      <c r="C124" s="125"/>
      <c r="D124" s="125"/>
      <c r="E124" s="186"/>
      <c r="F124" s="186"/>
      <c r="G124" s="186"/>
      <c r="H124" s="186"/>
      <c r="I124" s="186"/>
      <c r="J124" s="186"/>
      <c r="K124" s="186"/>
      <c r="L124" s="186"/>
      <c r="M124" s="186"/>
      <c r="N124" s="186"/>
      <c r="O124" s="186"/>
      <c r="P124" s="186"/>
      <c r="Q124" s="186"/>
      <c r="R124" s="186"/>
      <c r="S124" s="186"/>
      <c r="T124" s="186"/>
      <c r="U124" s="125"/>
      <c r="V124" s="125"/>
      <c r="W124" s="186"/>
      <c r="X124" s="186"/>
      <c r="Y124" s="125"/>
      <c r="Z124" s="125"/>
      <c r="AA124" s="125"/>
      <c r="AB124" s="125"/>
      <c r="AC124" s="125"/>
      <c r="AD124" s="125"/>
      <c r="AE124" s="187"/>
      <c r="AF124" s="125"/>
      <c r="AG124" s="125"/>
      <c r="AH124" s="125"/>
      <c r="AI124" s="125"/>
      <c r="AJ124" s="125"/>
      <c r="AK124" s="125"/>
      <c r="AL124" s="125"/>
    </row>
    <row r="125" ht="15.75" customHeight="1">
      <c r="A125" s="125"/>
      <c r="B125" s="125"/>
      <c r="C125" s="125"/>
      <c r="D125" s="125"/>
      <c r="E125" s="186"/>
      <c r="F125" s="186"/>
      <c r="G125" s="186"/>
      <c r="H125" s="186"/>
      <c r="I125" s="186"/>
      <c r="J125" s="186"/>
      <c r="K125" s="186"/>
      <c r="L125" s="186"/>
      <c r="M125" s="186"/>
      <c r="N125" s="186"/>
      <c r="O125" s="186"/>
      <c r="P125" s="186"/>
      <c r="Q125" s="186"/>
      <c r="R125" s="186"/>
      <c r="S125" s="186"/>
      <c r="T125" s="186"/>
      <c r="U125" s="125"/>
      <c r="V125" s="125"/>
      <c r="W125" s="186"/>
      <c r="X125" s="186"/>
      <c r="Y125" s="125"/>
      <c r="Z125" s="125"/>
      <c r="AA125" s="125"/>
      <c r="AB125" s="125"/>
      <c r="AC125" s="125"/>
      <c r="AD125" s="125"/>
      <c r="AE125" s="187"/>
      <c r="AF125" s="125"/>
      <c r="AG125" s="125"/>
      <c r="AH125" s="125"/>
      <c r="AI125" s="125"/>
      <c r="AJ125" s="125"/>
      <c r="AK125" s="125"/>
      <c r="AL125" s="125"/>
    </row>
    <row r="126" ht="15.75" customHeight="1">
      <c r="A126" s="125"/>
      <c r="B126" s="125"/>
      <c r="C126" s="125"/>
      <c r="D126" s="125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25"/>
      <c r="V126" s="125"/>
      <c r="W126" s="186"/>
      <c r="X126" s="186"/>
      <c r="Y126" s="125"/>
      <c r="Z126" s="125"/>
      <c r="AA126" s="125"/>
      <c r="AB126" s="125"/>
      <c r="AC126" s="125"/>
      <c r="AD126" s="125"/>
      <c r="AE126" s="187"/>
      <c r="AF126" s="125"/>
      <c r="AG126" s="125"/>
      <c r="AH126" s="125"/>
      <c r="AI126" s="125"/>
      <c r="AJ126" s="125"/>
      <c r="AK126" s="125"/>
      <c r="AL126" s="125"/>
    </row>
    <row r="127" ht="15.75" customHeight="1">
      <c r="A127" s="125"/>
      <c r="B127" s="125"/>
      <c r="C127" s="125"/>
      <c r="D127" s="125"/>
      <c r="E127" s="186"/>
      <c r="F127" s="186"/>
      <c r="G127" s="186"/>
      <c r="H127" s="186"/>
      <c r="I127" s="186"/>
      <c r="J127" s="186"/>
      <c r="K127" s="186"/>
      <c r="L127" s="186"/>
      <c r="M127" s="186"/>
      <c r="N127" s="186"/>
      <c r="O127" s="186"/>
      <c r="P127" s="186"/>
      <c r="Q127" s="186"/>
      <c r="R127" s="186"/>
      <c r="S127" s="186"/>
      <c r="T127" s="186"/>
      <c r="U127" s="125"/>
      <c r="V127" s="125"/>
      <c r="W127" s="186"/>
      <c r="X127" s="186"/>
      <c r="Y127" s="125"/>
      <c r="Z127" s="125"/>
      <c r="AA127" s="125"/>
      <c r="AB127" s="125"/>
      <c r="AC127" s="125"/>
      <c r="AD127" s="125"/>
      <c r="AE127" s="187"/>
      <c r="AF127" s="125"/>
      <c r="AG127" s="125"/>
      <c r="AH127" s="125"/>
      <c r="AI127" s="125"/>
      <c r="AJ127" s="125"/>
      <c r="AK127" s="125"/>
      <c r="AL127" s="125"/>
    </row>
    <row r="128" ht="15.75" customHeight="1">
      <c r="A128" s="125"/>
      <c r="B128" s="125"/>
      <c r="C128" s="125"/>
      <c r="D128" s="125"/>
      <c r="E128" s="186"/>
      <c r="F128" s="186"/>
      <c r="G128" s="186"/>
      <c r="H128" s="186"/>
      <c r="I128" s="186"/>
      <c r="J128" s="186"/>
      <c r="K128" s="186"/>
      <c r="L128" s="186"/>
      <c r="M128" s="186"/>
      <c r="N128" s="186"/>
      <c r="O128" s="186"/>
      <c r="P128" s="186"/>
      <c r="Q128" s="186"/>
      <c r="R128" s="186"/>
      <c r="S128" s="186"/>
      <c r="T128" s="186"/>
      <c r="U128" s="125"/>
      <c r="V128" s="125"/>
      <c r="W128" s="186"/>
      <c r="X128" s="186"/>
      <c r="Y128" s="125"/>
      <c r="Z128" s="125"/>
      <c r="AA128" s="125"/>
      <c r="AB128" s="125"/>
      <c r="AC128" s="125"/>
      <c r="AD128" s="125"/>
      <c r="AE128" s="187"/>
      <c r="AF128" s="125"/>
      <c r="AG128" s="125"/>
      <c r="AH128" s="125"/>
      <c r="AI128" s="125"/>
      <c r="AJ128" s="125"/>
      <c r="AK128" s="125"/>
      <c r="AL128" s="125"/>
    </row>
    <row r="129" ht="15.75" customHeight="1">
      <c r="A129" s="125"/>
      <c r="B129" s="125"/>
      <c r="C129" s="125"/>
      <c r="D129" s="125"/>
      <c r="E129" s="186"/>
      <c r="F129" s="186"/>
      <c r="G129" s="186"/>
      <c r="H129" s="186"/>
      <c r="I129" s="186"/>
      <c r="J129" s="186"/>
      <c r="K129" s="186"/>
      <c r="L129" s="186"/>
      <c r="M129" s="186"/>
      <c r="N129" s="186"/>
      <c r="O129" s="186"/>
      <c r="P129" s="186"/>
      <c r="Q129" s="186"/>
      <c r="R129" s="186"/>
      <c r="S129" s="186"/>
      <c r="T129" s="186"/>
      <c r="U129" s="125"/>
      <c r="V129" s="125"/>
      <c r="W129" s="186"/>
      <c r="X129" s="186"/>
      <c r="Y129" s="125"/>
      <c r="Z129" s="125"/>
      <c r="AA129" s="125"/>
      <c r="AB129" s="125"/>
      <c r="AC129" s="125"/>
      <c r="AD129" s="125"/>
      <c r="AE129" s="187"/>
      <c r="AF129" s="125"/>
      <c r="AG129" s="125"/>
      <c r="AH129" s="125"/>
      <c r="AI129" s="125"/>
      <c r="AJ129" s="125"/>
      <c r="AK129" s="125"/>
      <c r="AL129" s="125"/>
    </row>
    <row r="130" ht="15.75" customHeight="1">
      <c r="A130" s="125"/>
      <c r="B130" s="125"/>
      <c r="C130" s="125"/>
      <c r="D130" s="125"/>
      <c r="E130" s="186"/>
      <c r="F130" s="186"/>
      <c r="G130" s="186"/>
      <c r="H130" s="186"/>
      <c r="I130" s="186"/>
      <c r="J130" s="186"/>
      <c r="K130" s="186"/>
      <c r="L130" s="186"/>
      <c r="M130" s="186"/>
      <c r="N130" s="186"/>
      <c r="O130" s="186"/>
      <c r="P130" s="186"/>
      <c r="Q130" s="186"/>
      <c r="R130" s="186"/>
      <c r="S130" s="186"/>
      <c r="T130" s="186"/>
      <c r="U130" s="125"/>
      <c r="V130" s="125"/>
      <c r="W130" s="186"/>
      <c r="X130" s="186"/>
      <c r="Y130" s="125"/>
      <c r="Z130" s="125"/>
      <c r="AA130" s="125"/>
      <c r="AB130" s="125"/>
      <c r="AC130" s="125"/>
      <c r="AD130" s="125"/>
      <c r="AE130" s="187"/>
      <c r="AF130" s="125"/>
      <c r="AG130" s="125"/>
      <c r="AH130" s="125"/>
      <c r="AI130" s="125"/>
      <c r="AJ130" s="125"/>
      <c r="AK130" s="125"/>
      <c r="AL130" s="125"/>
    </row>
    <row r="131" ht="15.75" customHeight="1">
      <c r="A131" s="125"/>
      <c r="B131" s="125"/>
      <c r="C131" s="125"/>
      <c r="D131" s="125"/>
      <c r="E131" s="186"/>
      <c r="F131" s="186"/>
      <c r="G131" s="186"/>
      <c r="H131" s="186"/>
      <c r="I131" s="186"/>
      <c r="J131" s="186"/>
      <c r="K131" s="186"/>
      <c r="L131" s="186"/>
      <c r="M131" s="186"/>
      <c r="N131" s="186"/>
      <c r="O131" s="186"/>
      <c r="P131" s="186"/>
      <c r="Q131" s="186"/>
      <c r="R131" s="186"/>
      <c r="S131" s="186"/>
      <c r="T131" s="186"/>
      <c r="U131" s="125"/>
      <c r="V131" s="125"/>
      <c r="W131" s="186"/>
      <c r="X131" s="186"/>
      <c r="Y131" s="125"/>
      <c r="Z131" s="125"/>
      <c r="AA131" s="125"/>
      <c r="AB131" s="125"/>
      <c r="AC131" s="125"/>
      <c r="AD131" s="125"/>
      <c r="AE131" s="187"/>
      <c r="AF131" s="125"/>
      <c r="AG131" s="125"/>
      <c r="AH131" s="125"/>
      <c r="AI131" s="125"/>
      <c r="AJ131" s="125"/>
      <c r="AK131" s="125"/>
      <c r="AL131" s="125"/>
    </row>
    <row r="132" ht="15.75" customHeight="1">
      <c r="A132" s="125"/>
      <c r="B132" s="125"/>
      <c r="C132" s="125"/>
      <c r="D132" s="125"/>
      <c r="E132" s="186"/>
      <c r="F132" s="186"/>
      <c r="G132" s="186"/>
      <c r="H132" s="186"/>
      <c r="I132" s="186"/>
      <c r="J132" s="186"/>
      <c r="K132" s="186"/>
      <c r="L132" s="186"/>
      <c r="M132" s="186"/>
      <c r="N132" s="186"/>
      <c r="O132" s="186"/>
      <c r="P132" s="186"/>
      <c r="Q132" s="186"/>
      <c r="R132" s="186"/>
      <c r="S132" s="186"/>
      <c r="T132" s="186"/>
      <c r="U132" s="125"/>
      <c r="V132" s="125"/>
      <c r="W132" s="186"/>
      <c r="X132" s="186"/>
      <c r="Y132" s="125"/>
      <c r="Z132" s="125"/>
      <c r="AA132" s="125"/>
      <c r="AB132" s="125"/>
      <c r="AC132" s="125"/>
      <c r="AD132" s="125"/>
      <c r="AE132" s="187"/>
      <c r="AF132" s="125"/>
      <c r="AG132" s="125"/>
      <c r="AH132" s="125"/>
      <c r="AI132" s="125"/>
      <c r="AJ132" s="125"/>
      <c r="AK132" s="125"/>
      <c r="AL132" s="125"/>
    </row>
    <row r="133" ht="15.75" customHeight="1">
      <c r="A133" s="125"/>
      <c r="B133" s="125"/>
      <c r="C133" s="125"/>
      <c r="D133" s="125"/>
      <c r="E133" s="186"/>
      <c r="F133" s="186"/>
      <c r="G133" s="186"/>
      <c r="H133" s="186"/>
      <c r="I133" s="186"/>
      <c r="J133" s="186"/>
      <c r="K133" s="186"/>
      <c r="L133" s="186"/>
      <c r="M133" s="186"/>
      <c r="N133" s="186"/>
      <c r="O133" s="186"/>
      <c r="P133" s="186"/>
      <c r="Q133" s="186"/>
      <c r="R133" s="186"/>
      <c r="S133" s="186"/>
      <c r="T133" s="186"/>
      <c r="U133" s="125"/>
      <c r="V133" s="125"/>
      <c r="W133" s="186"/>
      <c r="X133" s="186"/>
      <c r="Y133" s="125"/>
      <c r="Z133" s="125"/>
      <c r="AA133" s="125"/>
      <c r="AB133" s="125"/>
      <c r="AC133" s="125"/>
      <c r="AD133" s="125"/>
      <c r="AE133" s="187"/>
      <c r="AF133" s="125"/>
      <c r="AG133" s="125"/>
      <c r="AH133" s="125"/>
      <c r="AI133" s="125"/>
      <c r="AJ133" s="125"/>
      <c r="AK133" s="125"/>
      <c r="AL133" s="125"/>
    </row>
    <row r="134" ht="15.75" customHeight="1">
      <c r="A134" s="125"/>
      <c r="B134" s="125"/>
      <c r="C134" s="125"/>
      <c r="D134" s="125"/>
      <c r="E134" s="186"/>
      <c r="F134" s="186"/>
      <c r="G134" s="186"/>
      <c r="H134" s="186"/>
      <c r="I134" s="186"/>
      <c r="J134" s="186"/>
      <c r="K134" s="186"/>
      <c r="L134" s="186"/>
      <c r="M134" s="186"/>
      <c r="N134" s="186"/>
      <c r="O134" s="186"/>
      <c r="P134" s="186"/>
      <c r="Q134" s="186"/>
      <c r="R134" s="186"/>
      <c r="S134" s="186"/>
      <c r="T134" s="186"/>
      <c r="U134" s="125"/>
      <c r="V134" s="125"/>
      <c r="W134" s="186"/>
      <c r="X134" s="186"/>
      <c r="Y134" s="125"/>
      <c r="Z134" s="125"/>
      <c r="AA134" s="125"/>
      <c r="AB134" s="125"/>
      <c r="AC134" s="125"/>
      <c r="AD134" s="125"/>
      <c r="AE134" s="187"/>
      <c r="AF134" s="125"/>
      <c r="AG134" s="125"/>
      <c r="AH134" s="125"/>
      <c r="AI134" s="125"/>
      <c r="AJ134" s="125"/>
      <c r="AK134" s="125"/>
      <c r="AL134" s="125"/>
    </row>
    <row r="135" ht="15.75" customHeight="1">
      <c r="A135" s="125"/>
      <c r="B135" s="125"/>
      <c r="C135" s="125"/>
      <c r="D135" s="125"/>
      <c r="E135" s="186"/>
      <c r="F135" s="186"/>
      <c r="G135" s="186"/>
      <c r="H135" s="186"/>
      <c r="I135" s="186"/>
      <c r="J135" s="186"/>
      <c r="K135" s="186"/>
      <c r="L135" s="186"/>
      <c r="M135" s="186"/>
      <c r="N135" s="186"/>
      <c r="O135" s="186"/>
      <c r="P135" s="186"/>
      <c r="Q135" s="186"/>
      <c r="R135" s="186"/>
      <c r="S135" s="186"/>
      <c r="T135" s="186"/>
      <c r="U135" s="125"/>
      <c r="V135" s="125"/>
      <c r="W135" s="186"/>
      <c r="X135" s="186"/>
      <c r="Y135" s="125"/>
      <c r="Z135" s="125"/>
      <c r="AA135" s="125"/>
      <c r="AB135" s="125"/>
      <c r="AC135" s="125"/>
      <c r="AD135" s="125"/>
      <c r="AE135" s="187"/>
      <c r="AF135" s="125"/>
      <c r="AG135" s="125"/>
      <c r="AH135" s="125"/>
      <c r="AI135" s="125"/>
      <c r="AJ135" s="125"/>
      <c r="AK135" s="125"/>
      <c r="AL135" s="125"/>
    </row>
    <row r="136" ht="15.75" customHeight="1">
      <c r="A136" s="125"/>
      <c r="B136" s="125"/>
      <c r="C136" s="125"/>
      <c r="D136" s="125"/>
      <c r="E136" s="186"/>
      <c r="F136" s="186"/>
      <c r="G136" s="186"/>
      <c r="H136" s="186"/>
      <c r="I136" s="186"/>
      <c r="J136" s="186"/>
      <c r="K136" s="186"/>
      <c r="L136" s="186"/>
      <c r="M136" s="186"/>
      <c r="N136" s="186"/>
      <c r="O136" s="186"/>
      <c r="P136" s="186"/>
      <c r="Q136" s="186"/>
      <c r="R136" s="186"/>
      <c r="S136" s="186"/>
      <c r="T136" s="186"/>
      <c r="U136" s="125"/>
      <c r="V136" s="125"/>
      <c r="W136" s="186"/>
      <c r="X136" s="186"/>
      <c r="Y136" s="125"/>
      <c r="Z136" s="125"/>
      <c r="AA136" s="125"/>
      <c r="AB136" s="125"/>
      <c r="AC136" s="125"/>
      <c r="AD136" s="125"/>
      <c r="AE136" s="187"/>
      <c r="AF136" s="125"/>
      <c r="AG136" s="125"/>
      <c r="AH136" s="125"/>
      <c r="AI136" s="125"/>
      <c r="AJ136" s="125"/>
      <c r="AK136" s="125"/>
      <c r="AL136" s="125"/>
    </row>
    <row r="137" ht="15.75" customHeight="1">
      <c r="A137" s="125"/>
      <c r="B137" s="125"/>
      <c r="C137" s="125"/>
      <c r="D137" s="125"/>
      <c r="E137" s="186"/>
      <c r="F137" s="186"/>
      <c r="G137" s="186"/>
      <c r="H137" s="186"/>
      <c r="I137" s="186"/>
      <c r="J137" s="186"/>
      <c r="K137" s="186"/>
      <c r="L137" s="186"/>
      <c r="M137" s="186"/>
      <c r="N137" s="186"/>
      <c r="O137" s="186"/>
      <c r="P137" s="186"/>
      <c r="Q137" s="186"/>
      <c r="R137" s="186"/>
      <c r="S137" s="186"/>
      <c r="T137" s="186"/>
      <c r="U137" s="125"/>
      <c r="V137" s="125"/>
      <c r="W137" s="186"/>
      <c r="X137" s="186"/>
      <c r="Y137" s="125"/>
      <c r="Z137" s="125"/>
      <c r="AA137" s="125"/>
      <c r="AB137" s="125"/>
      <c r="AC137" s="125"/>
      <c r="AD137" s="125"/>
      <c r="AE137" s="187"/>
      <c r="AF137" s="125"/>
      <c r="AG137" s="125"/>
      <c r="AH137" s="125"/>
      <c r="AI137" s="125"/>
      <c r="AJ137" s="125"/>
      <c r="AK137" s="125"/>
      <c r="AL137" s="125"/>
    </row>
    <row r="138" ht="15.75" customHeight="1">
      <c r="A138" s="125"/>
      <c r="B138" s="125"/>
      <c r="C138" s="125"/>
      <c r="D138" s="125"/>
      <c r="E138" s="186"/>
      <c r="F138" s="186"/>
      <c r="G138" s="186"/>
      <c r="H138" s="186"/>
      <c r="I138" s="186"/>
      <c r="J138" s="186"/>
      <c r="K138" s="186"/>
      <c r="L138" s="186"/>
      <c r="M138" s="186"/>
      <c r="N138" s="186"/>
      <c r="O138" s="186"/>
      <c r="P138" s="186"/>
      <c r="Q138" s="186"/>
      <c r="R138" s="186"/>
      <c r="S138" s="186"/>
      <c r="T138" s="186"/>
      <c r="U138" s="125"/>
      <c r="V138" s="125"/>
      <c r="W138" s="186"/>
      <c r="X138" s="186"/>
      <c r="Y138" s="125"/>
      <c r="Z138" s="125"/>
      <c r="AA138" s="125"/>
      <c r="AB138" s="125"/>
      <c r="AC138" s="125"/>
      <c r="AD138" s="125"/>
      <c r="AE138" s="187"/>
      <c r="AF138" s="125"/>
      <c r="AG138" s="125"/>
      <c r="AH138" s="125"/>
      <c r="AI138" s="125"/>
      <c r="AJ138" s="125"/>
      <c r="AK138" s="125"/>
      <c r="AL138" s="125"/>
    </row>
    <row r="139" ht="15.75" customHeight="1">
      <c r="A139" s="125"/>
      <c r="B139" s="125"/>
      <c r="C139" s="125"/>
      <c r="D139" s="125"/>
      <c r="E139" s="186"/>
      <c r="F139" s="186"/>
      <c r="G139" s="186"/>
      <c r="H139" s="186"/>
      <c r="I139" s="186"/>
      <c r="J139" s="186"/>
      <c r="K139" s="186"/>
      <c r="L139" s="186"/>
      <c r="M139" s="186"/>
      <c r="N139" s="186"/>
      <c r="O139" s="186"/>
      <c r="P139" s="186"/>
      <c r="Q139" s="186"/>
      <c r="R139" s="186"/>
      <c r="S139" s="186"/>
      <c r="T139" s="186"/>
      <c r="U139" s="125"/>
      <c r="V139" s="125"/>
      <c r="W139" s="186"/>
      <c r="X139" s="186"/>
      <c r="Y139" s="125"/>
      <c r="Z139" s="125"/>
      <c r="AA139" s="125"/>
      <c r="AB139" s="125"/>
      <c r="AC139" s="125"/>
      <c r="AD139" s="125"/>
      <c r="AE139" s="187"/>
      <c r="AF139" s="125"/>
      <c r="AG139" s="125"/>
      <c r="AH139" s="125"/>
      <c r="AI139" s="125"/>
      <c r="AJ139" s="125"/>
      <c r="AK139" s="125"/>
      <c r="AL139" s="125"/>
    </row>
    <row r="140" ht="15.75" customHeight="1">
      <c r="A140" s="125"/>
      <c r="B140" s="125"/>
      <c r="C140" s="125"/>
      <c r="D140" s="125"/>
      <c r="E140" s="186"/>
      <c r="F140" s="186"/>
      <c r="G140" s="186"/>
      <c r="H140" s="186"/>
      <c r="I140" s="186"/>
      <c r="J140" s="186"/>
      <c r="K140" s="186"/>
      <c r="L140" s="186"/>
      <c r="M140" s="186"/>
      <c r="N140" s="186"/>
      <c r="O140" s="186"/>
      <c r="P140" s="186"/>
      <c r="Q140" s="186"/>
      <c r="R140" s="186"/>
      <c r="S140" s="186"/>
      <c r="T140" s="186"/>
      <c r="U140" s="125"/>
      <c r="V140" s="125"/>
      <c r="W140" s="186"/>
      <c r="X140" s="186"/>
      <c r="Y140" s="125"/>
      <c r="Z140" s="125"/>
      <c r="AA140" s="125"/>
      <c r="AB140" s="125"/>
      <c r="AC140" s="125"/>
      <c r="AD140" s="125"/>
      <c r="AE140" s="187"/>
      <c r="AF140" s="125"/>
      <c r="AG140" s="125"/>
      <c r="AH140" s="125"/>
      <c r="AI140" s="125"/>
      <c r="AJ140" s="125"/>
      <c r="AK140" s="125"/>
      <c r="AL140" s="125"/>
    </row>
    <row r="141" ht="15.75" customHeight="1">
      <c r="A141" s="125"/>
      <c r="B141" s="125"/>
      <c r="C141" s="125"/>
      <c r="D141" s="125"/>
      <c r="E141" s="186"/>
      <c r="F141" s="186"/>
      <c r="G141" s="186"/>
      <c r="H141" s="186"/>
      <c r="I141" s="186"/>
      <c r="J141" s="186"/>
      <c r="K141" s="186"/>
      <c r="L141" s="186"/>
      <c r="M141" s="186"/>
      <c r="N141" s="186"/>
      <c r="O141" s="186"/>
      <c r="P141" s="186"/>
      <c r="Q141" s="186"/>
      <c r="R141" s="186"/>
      <c r="S141" s="186"/>
      <c r="T141" s="186"/>
      <c r="U141" s="125"/>
      <c r="V141" s="125"/>
      <c r="W141" s="186"/>
      <c r="X141" s="186"/>
      <c r="Y141" s="125"/>
      <c r="Z141" s="125"/>
      <c r="AA141" s="125"/>
      <c r="AB141" s="125"/>
      <c r="AC141" s="125"/>
      <c r="AD141" s="125"/>
      <c r="AE141" s="187"/>
      <c r="AF141" s="125"/>
      <c r="AG141" s="125"/>
      <c r="AH141" s="125"/>
      <c r="AI141" s="125"/>
      <c r="AJ141" s="125"/>
      <c r="AK141" s="125"/>
      <c r="AL141" s="125"/>
    </row>
    <row r="142" ht="15.75" customHeight="1">
      <c r="A142" s="125"/>
      <c r="B142" s="125"/>
      <c r="C142" s="125"/>
      <c r="D142" s="125"/>
      <c r="E142" s="186"/>
      <c r="F142" s="186"/>
      <c r="G142" s="186"/>
      <c r="H142" s="186"/>
      <c r="I142" s="186"/>
      <c r="J142" s="186"/>
      <c r="K142" s="186"/>
      <c r="L142" s="186"/>
      <c r="M142" s="186"/>
      <c r="N142" s="186"/>
      <c r="O142" s="186"/>
      <c r="P142" s="186"/>
      <c r="Q142" s="186"/>
      <c r="R142" s="186"/>
      <c r="S142" s="186"/>
      <c r="T142" s="186"/>
      <c r="U142" s="125"/>
      <c r="V142" s="125"/>
      <c r="W142" s="186"/>
      <c r="X142" s="186"/>
      <c r="Y142" s="125"/>
      <c r="Z142" s="125"/>
      <c r="AA142" s="125"/>
      <c r="AB142" s="125"/>
      <c r="AC142" s="125"/>
      <c r="AD142" s="125"/>
      <c r="AE142" s="187"/>
      <c r="AF142" s="125"/>
      <c r="AG142" s="125"/>
      <c r="AH142" s="125"/>
      <c r="AI142" s="125"/>
      <c r="AJ142" s="125"/>
      <c r="AK142" s="125"/>
      <c r="AL142" s="125"/>
    </row>
    <row r="143" ht="15.75" customHeight="1">
      <c r="A143" s="125"/>
      <c r="B143" s="125"/>
      <c r="C143" s="125"/>
      <c r="D143" s="125"/>
      <c r="E143" s="186"/>
      <c r="F143" s="186"/>
      <c r="G143" s="186"/>
      <c r="H143" s="186"/>
      <c r="I143" s="186"/>
      <c r="J143" s="186"/>
      <c r="K143" s="186"/>
      <c r="L143" s="186"/>
      <c r="M143" s="186"/>
      <c r="N143" s="186"/>
      <c r="O143" s="186"/>
      <c r="P143" s="186"/>
      <c r="Q143" s="186"/>
      <c r="R143" s="186"/>
      <c r="S143" s="186"/>
      <c r="T143" s="186"/>
      <c r="U143" s="125"/>
      <c r="V143" s="125"/>
      <c r="W143" s="186"/>
      <c r="X143" s="186"/>
      <c r="Y143" s="125"/>
      <c r="Z143" s="125"/>
      <c r="AA143" s="125"/>
      <c r="AB143" s="125"/>
      <c r="AC143" s="125"/>
      <c r="AD143" s="125"/>
      <c r="AE143" s="187"/>
      <c r="AF143" s="125"/>
      <c r="AG143" s="125"/>
      <c r="AH143" s="125"/>
      <c r="AI143" s="125"/>
      <c r="AJ143" s="125"/>
      <c r="AK143" s="125"/>
      <c r="AL143" s="125"/>
    </row>
    <row r="144" ht="15.75" customHeight="1">
      <c r="A144" s="125"/>
      <c r="B144" s="125"/>
      <c r="C144" s="125"/>
      <c r="D144" s="125"/>
      <c r="E144" s="186"/>
      <c r="F144" s="186"/>
      <c r="G144" s="186"/>
      <c r="H144" s="186"/>
      <c r="I144" s="186"/>
      <c r="J144" s="186"/>
      <c r="K144" s="186"/>
      <c r="L144" s="186"/>
      <c r="M144" s="186"/>
      <c r="N144" s="186"/>
      <c r="O144" s="186"/>
      <c r="P144" s="186"/>
      <c r="Q144" s="186"/>
      <c r="R144" s="186"/>
      <c r="S144" s="186"/>
      <c r="T144" s="186"/>
      <c r="U144" s="125"/>
      <c r="V144" s="125"/>
      <c r="W144" s="186"/>
      <c r="X144" s="186"/>
      <c r="Y144" s="125"/>
      <c r="Z144" s="125"/>
      <c r="AA144" s="125"/>
      <c r="AB144" s="125"/>
      <c r="AC144" s="125"/>
      <c r="AD144" s="125"/>
      <c r="AE144" s="187"/>
      <c r="AF144" s="125"/>
      <c r="AG144" s="125"/>
      <c r="AH144" s="125"/>
      <c r="AI144" s="125"/>
      <c r="AJ144" s="125"/>
      <c r="AK144" s="125"/>
      <c r="AL144" s="125"/>
    </row>
    <row r="145" ht="15.75" customHeight="1">
      <c r="A145" s="125"/>
      <c r="B145" s="125"/>
      <c r="C145" s="125"/>
      <c r="D145" s="125"/>
      <c r="E145" s="186"/>
      <c r="F145" s="186"/>
      <c r="G145" s="186"/>
      <c r="H145" s="186"/>
      <c r="I145" s="186"/>
      <c r="J145" s="186"/>
      <c r="K145" s="186"/>
      <c r="L145" s="186"/>
      <c r="M145" s="186"/>
      <c r="N145" s="186"/>
      <c r="O145" s="186"/>
      <c r="P145" s="186"/>
      <c r="Q145" s="186"/>
      <c r="R145" s="186"/>
      <c r="S145" s="186"/>
      <c r="T145" s="186"/>
      <c r="U145" s="125"/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87"/>
      <c r="AF145" s="125"/>
      <c r="AG145" s="125"/>
      <c r="AH145" s="125"/>
      <c r="AI145" s="125"/>
      <c r="AJ145" s="125"/>
      <c r="AK145" s="125"/>
      <c r="AL145" s="125"/>
    </row>
    <row r="146" ht="15.75" customHeight="1">
      <c r="A146" s="125"/>
      <c r="B146" s="125"/>
      <c r="C146" s="125"/>
      <c r="D146" s="125"/>
      <c r="E146" s="186"/>
      <c r="F146" s="186"/>
      <c r="G146" s="186"/>
      <c r="H146" s="186"/>
      <c r="I146" s="186"/>
      <c r="J146" s="186"/>
      <c r="K146" s="186"/>
      <c r="L146" s="186"/>
      <c r="M146" s="186"/>
      <c r="N146" s="186"/>
      <c r="O146" s="186"/>
      <c r="P146" s="186"/>
      <c r="Q146" s="186"/>
      <c r="R146" s="186"/>
      <c r="S146" s="186"/>
      <c r="T146" s="186"/>
      <c r="U146" s="125"/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87"/>
      <c r="AF146" s="125"/>
      <c r="AG146" s="125"/>
      <c r="AH146" s="125"/>
      <c r="AI146" s="125"/>
      <c r="AJ146" s="125"/>
      <c r="AK146" s="125"/>
      <c r="AL146" s="125"/>
    </row>
    <row r="147" ht="15.75" customHeight="1">
      <c r="A147" s="125"/>
      <c r="B147" s="125"/>
      <c r="C147" s="125"/>
      <c r="D147" s="125"/>
      <c r="E147" s="186"/>
      <c r="F147" s="186"/>
      <c r="G147" s="186"/>
      <c r="H147" s="186"/>
      <c r="I147" s="186"/>
      <c r="J147" s="186"/>
      <c r="K147" s="186"/>
      <c r="L147" s="186"/>
      <c r="M147" s="186"/>
      <c r="N147" s="186"/>
      <c r="O147" s="186"/>
      <c r="P147" s="186"/>
      <c r="Q147" s="186"/>
      <c r="R147" s="186"/>
      <c r="S147" s="186"/>
      <c r="T147" s="186"/>
      <c r="U147" s="125"/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87"/>
      <c r="AF147" s="125"/>
      <c r="AG147" s="125"/>
      <c r="AH147" s="125"/>
      <c r="AI147" s="125"/>
      <c r="AJ147" s="125"/>
      <c r="AK147" s="125"/>
      <c r="AL147" s="125"/>
    </row>
    <row r="148" ht="15.75" customHeight="1">
      <c r="A148" s="125"/>
      <c r="B148" s="125"/>
      <c r="C148" s="125"/>
      <c r="D148" s="125"/>
      <c r="E148" s="186"/>
      <c r="F148" s="186"/>
      <c r="G148" s="186"/>
      <c r="H148" s="186"/>
      <c r="I148" s="186"/>
      <c r="J148" s="186"/>
      <c r="K148" s="186"/>
      <c r="L148" s="186"/>
      <c r="M148" s="186"/>
      <c r="N148" s="186"/>
      <c r="O148" s="186"/>
      <c r="P148" s="186"/>
      <c r="Q148" s="186"/>
      <c r="R148" s="186"/>
      <c r="S148" s="186"/>
      <c r="T148" s="186"/>
      <c r="U148" s="125"/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87"/>
      <c r="AF148" s="125"/>
      <c r="AG148" s="125"/>
      <c r="AH148" s="125"/>
      <c r="AI148" s="125"/>
      <c r="AJ148" s="125"/>
      <c r="AK148" s="125"/>
      <c r="AL148" s="125"/>
    </row>
    <row r="149" ht="15.75" customHeight="1">
      <c r="A149" s="125"/>
      <c r="B149" s="125"/>
      <c r="C149" s="125"/>
      <c r="D149" s="125"/>
      <c r="E149" s="186"/>
      <c r="F149" s="186"/>
      <c r="G149" s="186"/>
      <c r="H149" s="186"/>
      <c r="I149" s="186"/>
      <c r="J149" s="186"/>
      <c r="K149" s="186"/>
      <c r="L149" s="186"/>
      <c r="M149" s="186"/>
      <c r="N149" s="186"/>
      <c r="O149" s="186"/>
      <c r="P149" s="186"/>
      <c r="Q149" s="186"/>
      <c r="R149" s="186"/>
      <c r="S149" s="186"/>
      <c r="T149" s="186"/>
      <c r="U149" s="125"/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87"/>
      <c r="AF149" s="125"/>
      <c r="AG149" s="125"/>
      <c r="AH149" s="125"/>
      <c r="AI149" s="125"/>
      <c r="AJ149" s="125"/>
      <c r="AK149" s="125"/>
      <c r="AL149" s="125"/>
    </row>
    <row r="150" ht="15.75" customHeight="1">
      <c r="A150" s="125"/>
      <c r="B150" s="125"/>
      <c r="C150" s="125"/>
      <c r="D150" s="125"/>
      <c r="E150" s="186"/>
      <c r="F150" s="186"/>
      <c r="G150" s="186"/>
      <c r="H150" s="186"/>
      <c r="I150" s="186"/>
      <c r="J150" s="186"/>
      <c r="K150" s="186"/>
      <c r="L150" s="186"/>
      <c r="M150" s="186"/>
      <c r="N150" s="186"/>
      <c r="O150" s="186"/>
      <c r="P150" s="186"/>
      <c r="Q150" s="186"/>
      <c r="R150" s="186"/>
      <c r="S150" s="186"/>
      <c r="T150" s="186"/>
      <c r="U150" s="125"/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87"/>
      <c r="AF150" s="125"/>
      <c r="AG150" s="125"/>
      <c r="AH150" s="125"/>
      <c r="AI150" s="125"/>
      <c r="AJ150" s="125"/>
      <c r="AK150" s="125"/>
      <c r="AL150" s="125"/>
    </row>
    <row r="151" ht="15.75" customHeight="1">
      <c r="A151" s="125"/>
      <c r="B151" s="125"/>
      <c r="C151" s="125"/>
      <c r="D151" s="125"/>
      <c r="E151" s="186"/>
      <c r="F151" s="186"/>
      <c r="G151" s="186"/>
      <c r="H151" s="186"/>
      <c r="I151" s="186"/>
      <c r="J151" s="186"/>
      <c r="K151" s="186"/>
      <c r="L151" s="186"/>
      <c r="M151" s="186"/>
      <c r="N151" s="186"/>
      <c r="O151" s="186"/>
      <c r="P151" s="186"/>
      <c r="Q151" s="186"/>
      <c r="R151" s="186"/>
      <c r="S151" s="186"/>
      <c r="T151" s="186"/>
      <c r="U151" s="125"/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87"/>
      <c r="AF151" s="125"/>
      <c r="AG151" s="125"/>
      <c r="AH151" s="125"/>
      <c r="AI151" s="125"/>
      <c r="AJ151" s="125"/>
      <c r="AK151" s="125"/>
      <c r="AL151" s="125"/>
    </row>
    <row r="152" ht="15.75" customHeight="1">
      <c r="A152" s="125"/>
      <c r="B152" s="125"/>
      <c r="C152" s="125"/>
      <c r="D152" s="125"/>
      <c r="E152" s="186"/>
      <c r="F152" s="186"/>
      <c r="G152" s="186"/>
      <c r="H152" s="186"/>
      <c r="I152" s="186"/>
      <c r="J152" s="186"/>
      <c r="K152" s="186"/>
      <c r="L152" s="186"/>
      <c r="M152" s="186"/>
      <c r="N152" s="186"/>
      <c r="O152" s="186"/>
      <c r="P152" s="186"/>
      <c r="Q152" s="186"/>
      <c r="R152" s="186"/>
      <c r="S152" s="186"/>
      <c r="T152" s="186"/>
      <c r="U152" s="125"/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87"/>
      <c r="AF152" s="125"/>
      <c r="AG152" s="125"/>
      <c r="AH152" s="125"/>
      <c r="AI152" s="125"/>
      <c r="AJ152" s="125"/>
      <c r="AK152" s="125"/>
      <c r="AL152" s="125"/>
    </row>
    <row r="153" ht="15.75" customHeight="1">
      <c r="A153" s="125"/>
      <c r="B153" s="125"/>
      <c r="C153" s="125"/>
      <c r="D153" s="125"/>
      <c r="E153" s="186"/>
      <c r="F153" s="186"/>
      <c r="G153" s="186"/>
      <c r="H153" s="186"/>
      <c r="I153" s="186"/>
      <c r="J153" s="186"/>
      <c r="K153" s="186"/>
      <c r="L153" s="186"/>
      <c r="M153" s="186"/>
      <c r="N153" s="186"/>
      <c r="O153" s="186"/>
      <c r="P153" s="186"/>
      <c r="Q153" s="186"/>
      <c r="R153" s="186"/>
      <c r="S153" s="186"/>
      <c r="T153" s="186"/>
      <c r="U153" s="125"/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87"/>
      <c r="AF153" s="125"/>
      <c r="AG153" s="125"/>
      <c r="AH153" s="125"/>
      <c r="AI153" s="125"/>
      <c r="AJ153" s="125"/>
      <c r="AK153" s="125"/>
      <c r="AL153" s="125"/>
    </row>
    <row r="154" ht="15.75" customHeight="1">
      <c r="A154" s="125"/>
      <c r="B154" s="125"/>
      <c r="C154" s="125"/>
      <c r="D154" s="125"/>
      <c r="E154" s="186"/>
      <c r="F154" s="186"/>
      <c r="G154" s="186"/>
      <c r="H154" s="186"/>
      <c r="I154" s="186"/>
      <c r="J154" s="186"/>
      <c r="K154" s="186"/>
      <c r="L154" s="186"/>
      <c r="M154" s="186"/>
      <c r="N154" s="186"/>
      <c r="O154" s="186"/>
      <c r="P154" s="186"/>
      <c r="Q154" s="186"/>
      <c r="R154" s="186"/>
      <c r="S154" s="186"/>
      <c r="T154" s="186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87"/>
      <c r="AF154" s="125"/>
      <c r="AG154" s="125"/>
      <c r="AH154" s="125"/>
      <c r="AI154" s="125"/>
      <c r="AJ154" s="125"/>
      <c r="AK154" s="125"/>
      <c r="AL154" s="125"/>
    </row>
    <row r="155" ht="15.75" customHeight="1">
      <c r="A155" s="125"/>
      <c r="B155" s="125"/>
      <c r="C155" s="125"/>
      <c r="D155" s="125"/>
      <c r="E155" s="186"/>
      <c r="F155" s="186"/>
      <c r="G155" s="186"/>
      <c r="H155" s="186"/>
      <c r="I155" s="186"/>
      <c r="J155" s="186"/>
      <c r="K155" s="186"/>
      <c r="L155" s="186"/>
      <c r="M155" s="186"/>
      <c r="N155" s="186"/>
      <c r="O155" s="186"/>
      <c r="P155" s="186"/>
      <c r="Q155" s="186"/>
      <c r="R155" s="186"/>
      <c r="S155" s="186"/>
      <c r="T155" s="186"/>
      <c r="U155" s="125"/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87"/>
      <c r="AF155" s="125"/>
      <c r="AG155" s="125"/>
      <c r="AH155" s="125"/>
      <c r="AI155" s="125"/>
      <c r="AJ155" s="125"/>
      <c r="AK155" s="125"/>
      <c r="AL155" s="125"/>
    </row>
    <row r="156" ht="15.75" customHeight="1">
      <c r="A156" s="125"/>
      <c r="B156" s="125"/>
      <c r="C156" s="125"/>
      <c r="D156" s="125"/>
      <c r="E156" s="186"/>
      <c r="F156" s="186"/>
      <c r="G156" s="186"/>
      <c r="H156" s="186"/>
      <c r="I156" s="186"/>
      <c r="J156" s="186"/>
      <c r="K156" s="186"/>
      <c r="L156" s="186"/>
      <c r="M156" s="186"/>
      <c r="N156" s="186"/>
      <c r="O156" s="186"/>
      <c r="P156" s="186"/>
      <c r="Q156" s="186"/>
      <c r="R156" s="186"/>
      <c r="S156" s="186"/>
      <c r="T156" s="186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87"/>
      <c r="AF156" s="125"/>
      <c r="AG156" s="125"/>
      <c r="AH156" s="125"/>
      <c r="AI156" s="125"/>
      <c r="AJ156" s="125"/>
      <c r="AK156" s="125"/>
      <c r="AL156" s="125"/>
    </row>
    <row r="157" ht="15.75" customHeight="1">
      <c r="A157" s="125"/>
      <c r="B157" s="125"/>
      <c r="C157" s="125"/>
      <c r="D157" s="125"/>
      <c r="E157" s="186"/>
      <c r="F157" s="186"/>
      <c r="G157" s="186"/>
      <c r="H157" s="186"/>
      <c r="I157" s="186"/>
      <c r="J157" s="186"/>
      <c r="K157" s="186"/>
      <c r="L157" s="186"/>
      <c r="M157" s="186"/>
      <c r="N157" s="186"/>
      <c r="O157" s="186"/>
      <c r="P157" s="186"/>
      <c r="Q157" s="186"/>
      <c r="R157" s="186"/>
      <c r="S157" s="186"/>
      <c r="T157" s="186"/>
      <c r="U157" s="125"/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87"/>
      <c r="AF157" s="125"/>
      <c r="AG157" s="125"/>
      <c r="AH157" s="125"/>
      <c r="AI157" s="125"/>
      <c r="AJ157" s="125"/>
      <c r="AK157" s="125"/>
      <c r="AL157" s="125"/>
    </row>
    <row r="158" ht="15.75" customHeight="1">
      <c r="A158" s="125"/>
      <c r="B158" s="125"/>
      <c r="C158" s="125"/>
      <c r="D158" s="125"/>
      <c r="E158" s="186"/>
      <c r="F158" s="186"/>
      <c r="G158" s="186"/>
      <c r="H158" s="186"/>
      <c r="I158" s="186"/>
      <c r="J158" s="186"/>
      <c r="K158" s="186"/>
      <c r="L158" s="186"/>
      <c r="M158" s="186"/>
      <c r="N158" s="186"/>
      <c r="O158" s="186"/>
      <c r="P158" s="186"/>
      <c r="Q158" s="186"/>
      <c r="R158" s="186"/>
      <c r="S158" s="186"/>
      <c r="T158" s="186"/>
      <c r="U158" s="125"/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87"/>
      <c r="AF158" s="125"/>
      <c r="AG158" s="125"/>
      <c r="AH158" s="125"/>
      <c r="AI158" s="125"/>
      <c r="AJ158" s="125"/>
      <c r="AK158" s="125"/>
      <c r="AL158" s="125"/>
    </row>
    <row r="159" ht="15.75" customHeight="1">
      <c r="A159" s="125"/>
      <c r="B159" s="125"/>
      <c r="C159" s="125"/>
      <c r="D159" s="125"/>
      <c r="E159" s="186"/>
      <c r="F159" s="186"/>
      <c r="G159" s="186"/>
      <c r="H159" s="186"/>
      <c r="I159" s="186"/>
      <c r="J159" s="186"/>
      <c r="K159" s="186"/>
      <c r="L159" s="186"/>
      <c r="M159" s="186"/>
      <c r="N159" s="186"/>
      <c r="O159" s="186"/>
      <c r="P159" s="186"/>
      <c r="Q159" s="186"/>
      <c r="R159" s="186"/>
      <c r="S159" s="186"/>
      <c r="T159" s="186"/>
      <c r="U159" s="125"/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87"/>
      <c r="AF159" s="125"/>
      <c r="AG159" s="125"/>
      <c r="AH159" s="125"/>
      <c r="AI159" s="125"/>
      <c r="AJ159" s="125"/>
      <c r="AK159" s="125"/>
      <c r="AL159" s="125"/>
    </row>
    <row r="160" ht="15.75" customHeight="1">
      <c r="A160" s="125"/>
      <c r="B160" s="125"/>
      <c r="C160" s="125"/>
      <c r="D160" s="125"/>
      <c r="E160" s="186"/>
      <c r="F160" s="186"/>
      <c r="G160" s="186"/>
      <c r="H160" s="186"/>
      <c r="I160" s="186"/>
      <c r="J160" s="186"/>
      <c r="K160" s="186"/>
      <c r="L160" s="186"/>
      <c r="M160" s="186"/>
      <c r="N160" s="186"/>
      <c r="O160" s="186"/>
      <c r="P160" s="186"/>
      <c r="Q160" s="186"/>
      <c r="R160" s="186"/>
      <c r="S160" s="186"/>
      <c r="T160" s="186"/>
      <c r="U160" s="125"/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87"/>
      <c r="AF160" s="125"/>
      <c r="AG160" s="125"/>
      <c r="AH160" s="125"/>
      <c r="AI160" s="125"/>
      <c r="AJ160" s="125"/>
      <c r="AK160" s="125"/>
      <c r="AL160" s="125"/>
    </row>
    <row r="161" ht="15.75" customHeight="1">
      <c r="A161" s="125"/>
      <c r="B161" s="125"/>
      <c r="C161" s="125"/>
      <c r="D161" s="125"/>
      <c r="E161" s="186"/>
      <c r="F161" s="186"/>
      <c r="G161" s="186"/>
      <c r="H161" s="186"/>
      <c r="I161" s="186"/>
      <c r="J161" s="186"/>
      <c r="K161" s="186"/>
      <c r="L161" s="186"/>
      <c r="M161" s="186"/>
      <c r="N161" s="186"/>
      <c r="O161" s="186"/>
      <c r="P161" s="186"/>
      <c r="Q161" s="186"/>
      <c r="R161" s="186"/>
      <c r="S161" s="186"/>
      <c r="T161" s="186"/>
      <c r="U161" s="125"/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87"/>
      <c r="AF161" s="125"/>
      <c r="AG161" s="125"/>
      <c r="AH161" s="125"/>
      <c r="AI161" s="125"/>
      <c r="AJ161" s="125"/>
      <c r="AK161" s="125"/>
      <c r="AL161" s="125"/>
    </row>
    <row r="162" ht="15.75" customHeight="1">
      <c r="A162" s="125"/>
      <c r="B162" s="125"/>
      <c r="C162" s="125"/>
      <c r="D162" s="125"/>
      <c r="E162" s="186"/>
      <c r="F162" s="186"/>
      <c r="G162" s="186"/>
      <c r="H162" s="186"/>
      <c r="I162" s="186"/>
      <c r="J162" s="186"/>
      <c r="K162" s="186"/>
      <c r="L162" s="186"/>
      <c r="M162" s="186"/>
      <c r="N162" s="186"/>
      <c r="O162" s="186"/>
      <c r="P162" s="186"/>
      <c r="Q162" s="186"/>
      <c r="R162" s="186"/>
      <c r="S162" s="186"/>
      <c r="T162" s="186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87"/>
      <c r="AF162" s="125"/>
      <c r="AG162" s="125"/>
      <c r="AH162" s="125"/>
      <c r="AI162" s="125"/>
      <c r="AJ162" s="125"/>
      <c r="AK162" s="125"/>
      <c r="AL162" s="125"/>
    </row>
    <row r="163" ht="15.75" customHeight="1">
      <c r="A163" s="125"/>
      <c r="B163" s="125"/>
      <c r="C163" s="125"/>
      <c r="D163" s="125"/>
      <c r="E163" s="186"/>
      <c r="F163" s="186"/>
      <c r="G163" s="186"/>
      <c r="H163" s="186"/>
      <c r="I163" s="186"/>
      <c r="J163" s="186"/>
      <c r="K163" s="186"/>
      <c r="L163" s="186"/>
      <c r="M163" s="186"/>
      <c r="N163" s="186"/>
      <c r="O163" s="186"/>
      <c r="P163" s="186"/>
      <c r="Q163" s="186"/>
      <c r="R163" s="186"/>
      <c r="S163" s="186"/>
      <c r="T163" s="186"/>
      <c r="U163" s="125"/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87"/>
      <c r="AF163" s="125"/>
      <c r="AG163" s="125"/>
      <c r="AH163" s="125"/>
      <c r="AI163" s="125"/>
      <c r="AJ163" s="125"/>
      <c r="AK163" s="125"/>
      <c r="AL163" s="125"/>
    </row>
    <row r="164" ht="15.75" customHeight="1">
      <c r="A164" s="125"/>
      <c r="B164" s="125"/>
      <c r="C164" s="125"/>
      <c r="D164" s="125"/>
      <c r="E164" s="186"/>
      <c r="F164" s="186"/>
      <c r="G164" s="186"/>
      <c r="H164" s="186"/>
      <c r="I164" s="186"/>
      <c r="J164" s="186"/>
      <c r="K164" s="186"/>
      <c r="L164" s="186"/>
      <c r="M164" s="186"/>
      <c r="N164" s="186"/>
      <c r="O164" s="186"/>
      <c r="P164" s="186"/>
      <c r="Q164" s="186"/>
      <c r="R164" s="186"/>
      <c r="S164" s="186"/>
      <c r="T164" s="186"/>
      <c r="U164" s="125"/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87"/>
      <c r="AF164" s="125"/>
      <c r="AG164" s="125"/>
      <c r="AH164" s="125"/>
      <c r="AI164" s="125"/>
      <c r="AJ164" s="125"/>
      <c r="AK164" s="125"/>
      <c r="AL164" s="125"/>
    </row>
    <row r="165" ht="15.75" customHeight="1">
      <c r="A165" s="125"/>
      <c r="B165" s="125"/>
      <c r="C165" s="125"/>
      <c r="D165" s="125"/>
      <c r="E165" s="186"/>
      <c r="F165" s="186"/>
      <c r="G165" s="186"/>
      <c r="H165" s="186"/>
      <c r="I165" s="186"/>
      <c r="J165" s="186"/>
      <c r="K165" s="186"/>
      <c r="L165" s="186"/>
      <c r="M165" s="186"/>
      <c r="N165" s="186"/>
      <c r="O165" s="186"/>
      <c r="P165" s="186"/>
      <c r="Q165" s="186"/>
      <c r="R165" s="186"/>
      <c r="S165" s="186"/>
      <c r="T165" s="186"/>
      <c r="U165" s="125"/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87"/>
      <c r="AF165" s="125"/>
      <c r="AG165" s="125"/>
      <c r="AH165" s="125"/>
      <c r="AI165" s="125"/>
      <c r="AJ165" s="125"/>
      <c r="AK165" s="125"/>
      <c r="AL165" s="125"/>
    </row>
    <row r="166" ht="15.75" customHeight="1">
      <c r="A166" s="125"/>
      <c r="B166" s="125"/>
      <c r="C166" s="125"/>
      <c r="D166" s="125"/>
      <c r="E166" s="186"/>
      <c r="F166" s="186"/>
      <c r="G166" s="186"/>
      <c r="H166" s="186"/>
      <c r="I166" s="186"/>
      <c r="J166" s="186"/>
      <c r="K166" s="186"/>
      <c r="L166" s="186"/>
      <c r="M166" s="186"/>
      <c r="N166" s="186"/>
      <c r="O166" s="186"/>
      <c r="P166" s="186"/>
      <c r="Q166" s="186"/>
      <c r="R166" s="186"/>
      <c r="S166" s="186"/>
      <c r="T166" s="186"/>
      <c r="U166" s="125"/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87"/>
      <c r="AF166" s="125"/>
      <c r="AG166" s="125"/>
      <c r="AH166" s="125"/>
      <c r="AI166" s="125"/>
      <c r="AJ166" s="125"/>
      <c r="AK166" s="125"/>
      <c r="AL166" s="125"/>
    </row>
    <row r="167" ht="15.75" customHeight="1">
      <c r="A167" s="125"/>
      <c r="B167" s="125"/>
      <c r="C167" s="125"/>
      <c r="D167" s="125"/>
      <c r="E167" s="186"/>
      <c r="F167" s="186"/>
      <c r="G167" s="186"/>
      <c r="H167" s="186"/>
      <c r="I167" s="186"/>
      <c r="J167" s="186"/>
      <c r="K167" s="186"/>
      <c r="L167" s="186"/>
      <c r="M167" s="186"/>
      <c r="N167" s="186"/>
      <c r="O167" s="186"/>
      <c r="P167" s="186"/>
      <c r="Q167" s="186"/>
      <c r="R167" s="186"/>
      <c r="S167" s="186"/>
      <c r="T167" s="186"/>
      <c r="U167" s="125"/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87"/>
      <c r="AF167" s="125"/>
      <c r="AG167" s="125"/>
      <c r="AH167" s="125"/>
      <c r="AI167" s="125"/>
      <c r="AJ167" s="125"/>
      <c r="AK167" s="125"/>
      <c r="AL167" s="125"/>
    </row>
    <row r="168" ht="15.75" customHeight="1">
      <c r="A168" s="125"/>
      <c r="B168" s="125"/>
      <c r="C168" s="125"/>
      <c r="D168" s="125"/>
      <c r="E168" s="186"/>
      <c r="F168" s="186"/>
      <c r="G168" s="186"/>
      <c r="H168" s="186"/>
      <c r="I168" s="186"/>
      <c r="J168" s="186"/>
      <c r="K168" s="186"/>
      <c r="L168" s="186"/>
      <c r="M168" s="186"/>
      <c r="N168" s="186"/>
      <c r="O168" s="186"/>
      <c r="P168" s="186"/>
      <c r="Q168" s="186"/>
      <c r="R168" s="186"/>
      <c r="S168" s="186"/>
      <c r="T168" s="186"/>
      <c r="U168" s="125"/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87"/>
      <c r="AF168" s="125"/>
      <c r="AG168" s="125"/>
      <c r="AH168" s="125"/>
      <c r="AI168" s="125"/>
      <c r="AJ168" s="125"/>
      <c r="AK168" s="125"/>
      <c r="AL168" s="125"/>
    </row>
    <row r="169" ht="15.75" customHeight="1">
      <c r="A169" s="125"/>
      <c r="B169" s="125"/>
      <c r="C169" s="125"/>
      <c r="D169" s="125"/>
      <c r="E169" s="186"/>
      <c r="F169" s="186"/>
      <c r="G169" s="186"/>
      <c r="H169" s="186"/>
      <c r="I169" s="186"/>
      <c r="J169" s="186"/>
      <c r="K169" s="186"/>
      <c r="L169" s="186"/>
      <c r="M169" s="186"/>
      <c r="N169" s="186"/>
      <c r="O169" s="186"/>
      <c r="P169" s="186"/>
      <c r="Q169" s="186"/>
      <c r="R169" s="186"/>
      <c r="S169" s="186"/>
      <c r="T169" s="186"/>
      <c r="U169" s="125"/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87"/>
      <c r="AF169" s="125"/>
      <c r="AG169" s="125"/>
      <c r="AH169" s="125"/>
      <c r="AI169" s="125"/>
      <c r="AJ169" s="125"/>
      <c r="AK169" s="125"/>
      <c r="AL169" s="125"/>
    </row>
    <row r="170" ht="15.75" customHeight="1">
      <c r="A170" s="125"/>
      <c r="B170" s="125"/>
      <c r="C170" s="125"/>
      <c r="D170" s="125"/>
      <c r="E170" s="186"/>
      <c r="F170" s="186"/>
      <c r="G170" s="186"/>
      <c r="H170" s="186"/>
      <c r="I170" s="186"/>
      <c r="J170" s="186"/>
      <c r="K170" s="186"/>
      <c r="L170" s="186"/>
      <c r="M170" s="186"/>
      <c r="N170" s="186"/>
      <c r="O170" s="186"/>
      <c r="P170" s="186"/>
      <c r="Q170" s="186"/>
      <c r="R170" s="186"/>
      <c r="S170" s="186"/>
      <c r="T170" s="186"/>
      <c r="U170" s="125"/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87"/>
      <c r="AF170" s="125"/>
      <c r="AG170" s="125"/>
      <c r="AH170" s="125"/>
      <c r="AI170" s="125"/>
      <c r="AJ170" s="125"/>
      <c r="AK170" s="125"/>
      <c r="AL170" s="125"/>
    </row>
    <row r="171" ht="15.75" customHeight="1">
      <c r="A171" s="125"/>
      <c r="B171" s="125"/>
      <c r="C171" s="125"/>
      <c r="D171" s="125"/>
      <c r="E171" s="186"/>
      <c r="F171" s="186"/>
      <c r="G171" s="186"/>
      <c r="H171" s="186"/>
      <c r="I171" s="186"/>
      <c r="J171" s="186"/>
      <c r="K171" s="186"/>
      <c r="L171" s="186"/>
      <c r="M171" s="186"/>
      <c r="N171" s="186"/>
      <c r="O171" s="186"/>
      <c r="P171" s="186"/>
      <c r="Q171" s="186"/>
      <c r="R171" s="186"/>
      <c r="S171" s="186"/>
      <c r="T171" s="186"/>
      <c r="U171" s="125"/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87"/>
      <c r="AF171" s="125"/>
      <c r="AG171" s="125"/>
      <c r="AH171" s="125"/>
      <c r="AI171" s="125"/>
      <c r="AJ171" s="125"/>
      <c r="AK171" s="125"/>
      <c r="AL171" s="125"/>
    </row>
    <row r="172" ht="15.75" customHeight="1">
      <c r="A172" s="125"/>
      <c r="B172" s="125"/>
      <c r="C172" s="125"/>
      <c r="D172" s="125"/>
      <c r="E172" s="186"/>
      <c r="F172" s="186"/>
      <c r="G172" s="186"/>
      <c r="H172" s="186"/>
      <c r="I172" s="186"/>
      <c r="J172" s="186"/>
      <c r="K172" s="186"/>
      <c r="L172" s="186"/>
      <c r="M172" s="186"/>
      <c r="N172" s="186"/>
      <c r="O172" s="186"/>
      <c r="P172" s="186"/>
      <c r="Q172" s="186"/>
      <c r="R172" s="186"/>
      <c r="S172" s="186"/>
      <c r="T172" s="186"/>
      <c r="U172" s="125"/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87"/>
      <c r="AF172" s="125"/>
      <c r="AG172" s="125"/>
      <c r="AH172" s="125"/>
      <c r="AI172" s="125"/>
      <c r="AJ172" s="125"/>
      <c r="AK172" s="125"/>
      <c r="AL172" s="125"/>
    </row>
    <row r="173" ht="15.75" customHeight="1">
      <c r="A173" s="125"/>
      <c r="B173" s="125"/>
      <c r="C173" s="125"/>
      <c r="D173" s="125"/>
      <c r="E173" s="186"/>
      <c r="F173" s="186"/>
      <c r="G173" s="186"/>
      <c r="H173" s="186"/>
      <c r="I173" s="186"/>
      <c r="J173" s="186"/>
      <c r="K173" s="186"/>
      <c r="L173" s="186"/>
      <c r="M173" s="186"/>
      <c r="N173" s="186"/>
      <c r="O173" s="186"/>
      <c r="P173" s="186"/>
      <c r="Q173" s="186"/>
      <c r="R173" s="186"/>
      <c r="S173" s="186"/>
      <c r="T173" s="186"/>
      <c r="U173" s="125"/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87"/>
      <c r="AF173" s="125"/>
      <c r="AG173" s="125"/>
      <c r="AH173" s="125"/>
      <c r="AI173" s="125"/>
      <c r="AJ173" s="125"/>
      <c r="AK173" s="125"/>
      <c r="AL173" s="125"/>
    </row>
    <row r="174" ht="15.75" customHeight="1">
      <c r="A174" s="125"/>
      <c r="B174" s="125"/>
      <c r="C174" s="125"/>
      <c r="D174" s="125"/>
      <c r="E174" s="186"/>
      <c r="F174" s="186"/>
      <c r="G174" s="186"/>
      <c r="H174" s="186"/>
      <c r="I174" s="186"/>
      <c r="J174" s="186"/>
      <c r="K174" s="186"/>
      <c r="L174" s="186"/>
      <c r="M174" s="186"/>
      <c r="N174" s="186"/>
      <c r="O174" s="186"/>
      <c r="P174" s="186"/>
      <c r="Q174" s="186"/>
      <c r="R174" s="186"/>
      <c r="S174" s="186"/>
      <c r="T174" s="186"/>
      <c r="U174" s="125"/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87"/>
      <c r="AF174" s="125"/>
      <c r="AG174" s="125"/>
      <c r="AH174" s="125"/>
      <c r="AI174" s="125"/>
      <c r="AJ174" s="125"/>
      <c r="AK174" s="125"/>
      <c r="AL174" s="125"/>
    </row>
    <row r="175" ht="15.75" customHeight="1">
      <c r="A175" s="125"/>
      <c r="B175" s="125"/>
      <c r="C175" s="125"/>
      <c r="D175" s="125"/>
      <c r="E175" s="186"/>
      <c r="F175" s="186"/>
      <c r="G175" s="186"/>
      <c r="H175" s="186"/>
      <c r="I175" s="186"/>
      <c r="J175" s="186"/>
      <c r="K175" s="186"/>
      <c r="L175" s="186"/>
      <c r="M175" s="186"/>
      <c r="N175" s="186"/>
      <c r="O175" s="186"/>
      <c r="P175" s="186"/>
      <c r="Q175" s="186"/>
      <c r="R175" s="186"/>
      <c r="S175" s="186"/>
      <c r="T175" s="186"/>
      <c r="U175" s="125"/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87"/>
      <c r="AF175" s="125"/>
      <c r="AG175" s="125"/>
      <c r="AH175" s="125"/>
      <c r="AI175" s="125"/>
      <c r="AJ175" s="125"/>
      <c r="AK175" s="125"/>
      <c r="AL175" s="125"/>
    </row>
    <row r="176" ht="15.75" customHeight="1">
      <c r="A176" s="125"/>
      <c r="B176" s="125"/>
      <c r="C176" s="125"/>
      <c r="D176" s="125"/>
      <c r="E176" s="186"/>
      <c r="F176" s="186"/>
      <c r="G176" s="186"/>
      <c r="H176" s="186"/>
      <c r="I176" s="186"/>
      <c r="J176" s="186"/>
      <c r="K176" s="186"/>
      <c r="L176" s="186"/>
      <c r="M176" s="186"/>
      <c r="N176" s="186"/>
      <c r="O176" s="186"/>
      <c r="P176" s="186"/>
      <c r="Q176" s="186"/>
      <c r="R176" s="186"/>
      <c r="S176" s="186"/>
      <c r="T176" s="186"/>
      <c r="U176" s="125"/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87"/>
      <c r="AF176" s="125"/>
      <c r="AG176" s="125"/>
      <c r="AH176" s="125"/>
      <c r="AI176" s="125"/>
      <c r="AJ176" s="125"/>
      <c r="AK176" s="125"/>
      <c r="AL176" s="125"/>
    </row>
    <row r="177" ht="15.75" customHeight="1">
      <c r="A177" s="125"/>
      <c r="B177" s="125"/>
      <c r="C177" s="125"/>
      <c r="D177" s="125"/>
      <c r="E177" s="186"/>
      <c r="F177" s="186"/>
      <c r="G177" s="186"/>
      <c r="H177" s="186"/>
      <c r="I177" s="186"/>
      <c r="J177" s="186"/>
      <c r="K177" s="186"/>
      <c r="L177" s="186"/>
      <c r="M177" s="186"/>
      <c r="N177" s="186"/>
      <c r="O177" s="186"/>
      <c r="P177" s="186"/>
      <c r="Q177" s="186"/>
      <c r="R177" s="186"/>
      <c r="S177" s="186"/>
      <c r="T177" s="186"/>
      <c r="U177" s="125"/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87"/>
      <c r="AF177" s="125"/>
      <c r="AG177" s="125"/>
      <c r="AH177" s="125"/>
      <c r="AI177" s="125"/>
      <c r="AJ177" s="125"/>
      <c r="AK177" s="125"/>
      <c r="AL177" s="125"/>
    </row>
    <row r="178" ht="15.75" customHeight="1">
      <c r="A178" s="125"/>
      <c r="B178" s="125"/>
      <c r="C178" s="125"/>
      <c r="D178" s="125"/>
      <c r="E178" s="186"/>
      <c r="F178" s="186"/>
      <c r="G178" s="186"/>
      <c r="H178" s="186"/>
      <c r="I178" s="186"/>
      <c r="J178" s="186"/>
      <c r="K178" s="186"/>
      <c r="L178" s="186"/>
      <c r="M178" s="186"/>
      <c r="N178" s="186"/>
      <c r="O178" s="186"/>
      <c r="P178" s="186"/>
      <c r="Q178" s="186"/>
      <c r="R178" s="186"/>
      <c r="S178" s="186"/>
      <c r="T178" s="186"/>
      <c r="U178" s="125"/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87"/>
      <c r="AF178" s="125"/>
      <c r="AG178" s="125"/>
      <c r="AH178" s="125"/>
      <c r="AI178" s="125"/>
      <c r="AJ178" s="125"/>
      <c r="AK178" s="125"/>
      <c r="AL178" s="125"/>
    </row>
    <row r="179" ht="15.75" customHeight="1">
      <c r="A179" s="125"/>
      <c r="B179" s="125"/>
      <c r="C179" s="125"/>
      <c r="D179" s="125"/>
      <c r="E179" s="186"/>
      <c r="F179" s="186"/>
      <c r="G179" s="186"/>
      <c r="H179" s="186"/>
      <c r="I179" s="186"/>
      <c r="J179" s="186"/>
      <c r="K179" s="186"/>
      <c r="L179" s="186"/>
      <c r="M179" s="186"/>
      <c r="N179" s="186"/>
      <c r="O179" s="186"/>
      <c r="P179" s="186"/>
      <c r="Q179" s="186"/>
      <c r="R179" s="186"/>
      <c r="S179" s="186"/>
      <c r="T179" s="186"/>
      <c r="U179" s="125"/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87"/>
      <c r="AF179" s="125"/>
      <c r="AG179" s="125"/>
      <c r="AH179" s="125"/>
      <c r="AI179" s="125"/>
      <c r="AJ179" s="125"/>
      <c r="AK179" s="125"/>
      <c r="AL179" s="125"/>
    </row>
    <row r="180" ht="15.75" customHeight="1">
      <c r="A180" s="125"/>
      <c r="B180" s="125"/>
      <c r="C180" s="125"/>
      <c r="D180" s="125"/>
      <c r="E180" s="186"/>
      <c r="F180" s="186"/>
      <c r="G180" s="186"/>
      <c r="H180" s="186"/>
      <c r="I180" s="186"/>
      <c r="J180" s="186"/>
      <c r="K180" s="186"/>
      <c r="L180" s="186"/>
      <c r="M180" s="186"/>
      <c r="N180" s="186"/>
      <c r="O180" s="186"/>
      <c r="P180" s="186"/>
      <c r="Q180" s="186"/>
      <c r="R180" s="186"/>
      <c r="S180" s="186"/>
      <c r="T180" s="186"/>
      <c r="U180" s="125"/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87"/>
      <c r="AF180" s="125"/>
      <c r="AG180" s="125"/>
      <c r="AH180" s="125"/>
      <c r="AI180" s="125"/>
      <c r="AJ180" s="125"/>
      <c r="AK180" s="125"/>
      <c r="AL180" s="125"/>
    </row>
    <row r="181" ht="15.75" customHeight="1">
      <c r="A181" s="125"/>
      <c r="B181" s="125"/>
      <c r="C181" s="125"/>
      <c r="D181" s="125"/>
      <c r="E181" s="186"/>
      <c r="F181" s="186"/>
      <c r="G181" s="186"/>
      <c r="H181" s="186"/>
      <c r="I181" s="186"/>
      <c r="J181" s="186"/>
      <c r="K181" s="186"/>
      <c r="L181" s="186"/>
      <c r="M181" s="186"/>
      <c r="N181" s="186"/>
      <c r="O181" s="186"/>
      <c r="P181" s="186"/>
      <c r="Q181" s="186"/>
      <c r="R181" s="186"/>
      <c r="S181" s="186"/>
      <c r="T181" s="186"/>
      <c r="U181" s="125"/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87"/>
      <c r="AF181" s="125"/>
      <c r="AG181" s="125"/>
      <c r="AH181" s="125"/>
      <c r="AI181" s="125"/>
      <c r="AJ181" s="125"/>
      <c r="AK181" s="125"/>
      <c r="AL181" s="125"/>
    </row>
    <row r="182" ht="15.75" customHeight="1">
      <c r="A182" s="125"/>
      <c r="B182" s="125"/>
      <c r="C182" s="125"/>
      <c r="D182" s="125"/>
      <c r="E182" s="186"/>
      <c r="F182" s="186"/>
      <c r="G182" s="186"/>
      <c r="H182" s="186"/>
      <c r="I182" s="186"/>
      <c r="J182" s="186"/>
      <c r="K182" s="186"/>
      <c r="L182" s="186"/>
      <c r="M182" s="186"/>
      <c r="N182" s="186"/>
      <c r="O182" s="186"/>
      <c r="P182" s="186"/>
      <c r="Q182" s="186"/>
      <c r="R182" s="186"/>
      <c r="S182" s="186"/>
      <c r="T182" s="186"/>
      <c r="U182" s="125"/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87"/>
      <c r="AF182" s="125"/>
      <c r="AG182" s="125"/>
      <c r="AH182" s="125"/>
      <c r="AI182" s="125"/>
      <c r="AJ182" s="125"/>
      <c r="AK182" s="125"/>
      <c r="AL182" s="125"/>
    </row>
    <row r="183" ht="15.75" customHeight="1">
      <c r="A183" s="125"/>
      <c r="B183" s="125"/>
      <c r="C183" s="125"/>
      <c r="D183" s="125"/>
      <c r="E183" s="186"/>
      <c r="F183" s="186"/>
      <c r="G183" s="186"/>
      <c r="H183" s="186"/>
      <c r="I183" s="186"/>
      <c r="J183" s="186"/>
      <c r="K183" s="186"/>
      <c r="L183" s="186"/>
      <c r="M183" s="186"/>
      <c r="N183" s="186"/>
      <c r="O183" s="186"/>
      <c r="P183" s="186"/>
      <c r="Q183" s="186"/>
      <c r="R183" s="186"/>
      <c r="S183" s="186"/>
      <c r="T183" s="186"/>
      <c r="U183" s="125"/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87"/>
      <c r="AF183" s="125"/>
      <c r="AG183" s="125"/>
      <c r="AH183" s="125"/>
      <c r="AI183" s="125"/>
      <c r="AJ183" s="125"/>
      <c r="AK183" s="125"/>
      <c r="AL183" s="125"/>
    </row>
    <row r="184" ht="15.75" customHeight="1">
      <c r="A184" s="125"/>
      <c r="B184" s="125"/>
      <c r="C184" s="125"/>
      <c r="D184" s="125"/>
      <c r="E184" s="186"/>
      <c r="F184" s="186"/>
      <c r="G184" s="186"/>
      <c r="H184" s="186"/>
      <c r="I184" s="186"/>
      <c r="J184" s="186"/>
      <c r="K184" s="186"/>
      <c r="L184" s="186"/>
      <c r="M184" s="186"/>
      <c r="N184" s="186"/>
      <c r="O184" s="186"/>
      <c r="P184" s="186"/>
      <c r="Q184" s="186"/>
      <c r="R184" s="186"/>
      <c r="S184" s="186"/>
      <c r="T184" s="186"/>
      <c r="U184" s="125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87"/>
      <c r="AF184" s="125"/>
      <c r="AG184" s="125"/>
      <c r="AH184" s="125"/>
      <c r="AI184" s="125"/>
      <c r="AJ184" s="125"/>
      <c r="AK184" s="125"/>
      <c r="AL184" s="125"/>
    </row>
    <row r="185" ht="15.75" customHeight="1">
      <c r="A185" s="125"/>
      <c r="B185" s="125"/>
      <c r="C185" s="125"/>
      <c r="D185" s="125"/>
      <c r="E185" s="186"/>
      <c r="F185" s="186"/>
      <c r="G185" s="186"/>
      <c r="H185" s="186"/>
      <c r="I185" s="186"/>
      <c r="J185" s="186"/>
      <c r="K185" s="186"/>
      <c r="L185" s="186"/>
      <c r="M185" s="186"/>
      <c r="N185" s="186"/>
      <c r="O185" s="186"/>
      <c r="P185" s="186"/>
      <c r="Q185" s="186"/>
      <c r="R185" s="186"/>
      <c r="S185" s="186"/>
      <c r="T185" s="186"/>
      <c r="U185" s="125"/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87"/>
      <c r="AF185" s="125"/>
      <c r="AG185" s="125"/>
      <c r="AH185" s="125"/>
      <c r="AI185" s="125"/>
      <c r="AJ185" s="125"/>
      <c r="AK185" s="125"/>
      <c r="AL185" s="125"/>
    </row>
    <row r="186" ht="15.75" customHeight="1">
      <c r="A186" s="125"/>
      <c r="B186" s="125"/>
      <c r="C186" s="125"/>
      <c r="D186" s="125"/>
      <c r="E186" s="186"/>
      <c r="F186" s="186"/>
      <c r="G186" s="186"/>
      <c r="H186" s="186"/>
      <c r="I186" s="186"/>
      <c r="J186" s="186"/>
      <c r="K186" s="186"/>
      <c r="L186" s="186"/>
      <c r="M186" s="186"/>
      <c r="N186" s="186"/>
      <c r="O186" s="186"/>
      <c r="P186" s="186"/>
      <c r="Q186" s="186"/>
      <c r="R186" s="186"/>
      <c r="S186" s="186"/>
      <c r="T186" s="186"/>
      <c r="U186" s="125"/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87"/>
      <c r="AF186" s="125"/>
      <c r="AG186" s="125"/>
      <c r="AH186" s="125"/>
      <c r="AI186" s="125"/>
      <c r="AJ186" s="125"/>
      <c r="AK186" s="125"/>
      <c r="AL186" s="125"/>
    </row>
    <row r="187" ht="15.75" customHeight="1">
      <c r="A187" s="125"/>
      <c r="B187" s="125"/>
      <c r="C187" s="125"/>
      <c r="D187" s="125"/>
      <c r="E187" s="186"/>
      <c r="F187" s="186"/>
      <c r="G187" s="186"/>
      <c r="H187" s="186"/>
      <c r="I187" s="186"/>
      <c r="J187" s="186"/>
      <c r="K187" s="186"/>
      <c r="L187" s="186"/>
      <c r="M187" s="186"/>
      <c r="N187" s="186"/>
      <c r="O187" s="186"/>
      <c r="P187" s="186"/>
      <c r="Q187" s="186"/>
      <c r="R187" s="186"/>
      <c r="S187" s="186"/>
      <c r="T187" s="186"/>
      <c r="U187" s="125"/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87"/>
      <c r="AF187" s="125"/>
      <c r="AG187" s="125"/>
      <c r="AH187" s="125"/>
      <c r="AI187" s="125"/>
      <c r="AJ187" s="125"/>
      <c r="AK187" s="125"/>
      <c r="AL187" s="125"/>
    </row>
    <row r="188" ht="15.75" customHeight="1">
      <c r="A188" s="125"/>
      <c r="B188" s="125"/>
      <c r="C188" s="125"/>
      <c r="D188" s="125"/>
      <c r="E188" s="186"/>
      <c r="F188" s="186"/>
      <c r="G188" s="186"/>
      <c r="H188" s="186"/>
      <c r="I188" s="186"/>
      <c r="J188" s="186"/>
      <c r="K188" s="186"/>
      <c r="L188" s="186"/>
      <c r="M188" s="186"/>
      <c r="N188" s="186"/>
      <c r="O188" s="186"/>
      <c r="P188" s="186"/>
      <c r="Q188" s="186"/>
      <c r="R188" s="186"/>
      <c r="S188" s="186"/>
      <c r="T188" s="186"/>
      <c r="U188" s="125"/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87"/>
      <c r="AF188" s="125"/>
      <c r="AG188" s="125"/>
      <c r="AH188" s="125"/>
      <c r="AI188" s="125"/>
      <c r="AJ188" s="125"/>
      <c r="AK188" s="125"/>
      <c r="AL188" s="125"/>
    </row>
    <row r="189" ht="15.75" customHeight="1">
      <c r="A189" s="125"/>
      <c r="B189" s="125"/>
      <c r="C189" s="125"/>
      <c r="D189" s="125"/>
      <c r="E189" s="186"/>
      <c r="F189" s="186"/>
      <c r="G189" s="186"/>
      <c r="H189" s="186"/>
      <c r="I189" s="186"/>
      <c r="J189" s="186"/>
      <c r="K189" s="186"/>
      <c r="L189" s="186"/>
      <c r="M189" s="186"/>
      <c r="N189" s="186"/>
      <c r="O189" s="186"/>
      <c r="P189" s="186"/>
      <c r="Q189" s="186"/>
      <c r="R189" s="186"/>
      <c r="S189" s="186"/>
      <c r="T189" s="186"/>
      <c r="U189" s="125"/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87"/>
      <c r="AF189" s="125"/>
      <c r="AG189" s="125"/>
      <c r="AH189" s="125"/>
      <c r="AI189" s="125"/>
      <c r="AJ189" s="125"/>
      <c r="AK189" s="125"/>
      <c r="AL189" s="125"/>
    </row>
    <row r="190" ht="15.75" customHeight="1">
      <c r="A190" s="125"/>
      <c r="B190" s="125"/>
      <c r="C190" s="125"/>
      <c r="D190" s="125"/>
      <c r="E190" s="186"/>
      <c r="F190" s="186"/>
      <c r="G190" s="186"/>
      <c r="H190" s="186"/>
      <c r="I190" s="186"/>
      <c r="J190" s="186"/>
      <c r="K190" s="186"/>
      <c r="L190" s="186"/>
      <c r="M190" s="186"/>
      <c r="N190" s="186"/>
      <c r="O190" s="186"/>
      <c r="P190" s="186"/>
      <c r="Q190" s="186"/>
      <c r="R190" s="186"/>
      <c r="S190" s="186"/>
      <c r="T190" s="186"/>
      <c r="U190" s="125"/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87"/>
      <c r="AF190" s="125"/>
      <c r="AG190" s="125"/>
      <c r="AH190" s="125"/>
      <c r="AI190" s="125"/>
      <c r="AJ190" s="125"/>
      <c r="AK190" s="125"/>
      <c r="AL190" s="125"/>
    </row>
    <row r="191" ht="15.75" customHeight="1">
      <c r="A191" s="125"/>
      <c r="B191" s="125"/>
      <c r="C191" s="125"/>
      <c r="D191" s="125"/>
      <c r="E191" s="186"/>
      <c r="F191" s="186"/>
      <c r="G191" s="186"/>
      <c r="H191" s="186"/>
      <c r="I191" s="186"/>
      <c r="J191" s="186"/>
      <c r="K191" s="186"/>
      <c r="L191" s="186"/>
      <c r="M191" s="186"/>
      <c r="N191" s="186"/>
      <c r="O191" s="186"/>
      <c r="P191" s="186"/>
      <c r="Q191" s="186"/>
      <c r="R191" s="186"/>
      <c r="S191" s="186"/>
      <c r="T191" s="186"/>
      <c r="U191" s="125"/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87"/>
      <c r="AF191" s="125"/>
      <c r="AG191" s="125"/>
      <c r="AH191" s="125"/>
      <c r="AI191" s="125"/>
      <c r="AJ191" s="125"/>
      <c r="AK191" s="125"/>
      <c r="AL191" s="125"/>
    </row>
    <row r="192" ht="15.75" customHeight="1">
      <c r="A192" s="125"/>
      <c r="B192" s="125"/>
      <c r="C192" s="125"/>
      <c r="D192" s="125"/>
      <c r="E192" s="186"/>
      <c r="F192" s="186"/>
      <c r="G192" s="186"/>
      <c r="H192" s="186"/>
      <c r="I192" s="186"/>
      <c r="J192" s="186"/>
      <c r="K192" s="186"/>
      <c r="L192" s="186"/>
      <c r="M192" s="186"/>
      <c r="N192" s="186"/>
      <c r="O192" s="186"/>
      <c r="P192" s="186"/>
      <c r="Q192" s="186"/>
      <c r="R192" s="186"/>
      <c r="S192" s="186"/>
      <c r="T192" s="186"/>
      <c r="U192" s="125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87"/>
      <c r="AF192" s="125"/>
      <c r="AG192" s="125"/>
      <c r="AH192" s="125"/>
      <c r="AI192" s="125"/>
      <c r="AJ192" s="125"/>
      <c r="AK192" s="125"/>
      <c r="AL192" s="125"/>
    </row>
    <row r="193" ht="15.75" customHeight="1">
      <c r="A193" s="125"/>
      <c r="B193" s="125"/>
      <c r="C193" s="125"/>
      <c r="D193" s="125"/>
      <c r="E193" s="186"/>
      <c r="F193" s="186"/>
      <c r="G193" s="186"/>
      <c r="H193" s="186"/>
      <c r="I193" s="186"/>
      <c r="J193" s="186"/>
      <c r="K193" s="186"/>
      <c r="L193" s="186"/>
      <c r="M193" s="186"/>
      <c r="N193" s="186"/>
      <c r="O193" s="186"/>
      <c r="P193" s="186"/>
      <c r="Q193" s="186"/>
      <c r="R193" s="186"/>
      <c r="S193" s="186"/>
      <c r="T193" s="186"/>
      <c r="U193" s="125"/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87"/>
      <c r="AF193" s="125"/>
      <c r="AG193" s="125"/>
      <c r="AH193" s="125"/>
      <c r="AI193" s="125"/>
      <c r="AJ193" s="125"/>
      <c r="AK193" s="125"/>
      <c r="AL193" s="125"/>
    </row>
    <row r="194" ht="15.75" customHeight="1">
      <c r="A194" s="125"/>
      <c r="B194" s="125"/>
      <c r="C194" s="125"/>
      <c r="D194" s="125"/>
      <c r="E194" s="186"/>
      <c r="F194" s="186"/>
      <c r="G194" s="186"/>
      <c r="H194" s="186"/>
      <c r="I194" s="186"/>
      <c r="J194" s="186"/>
      <c r="K194" s="186"/>
      <c r="L194" s="186"/>
      <c r="M194" s="186"/>
      <c r="N194" s="186"/>
      <c r="O194" s="186"/>
      <c r="P194" s="186"/>
      <c r="Q194" s="186"/>
      <c r="R194" s="186"/>
      <c r="S194" s="186"/>
      <c r="T194" s="186"/>
      <c r="U194" s="125"/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87"/>
      <c r="AF194" s="125"/>
      <c r="AG194" s="125"/>
      <c r="AH194" s="125"/>
      <c r="AI194" s="125"/>
      <c r="AJ194" s="125"/>
      <c r="AK194" s="125"/>
      <c r="AL194" s="125"/>
    </row>
    <row r="195" ht="15.75" customHeight="1">
      <c r="A195" s="125"/>
      <c r="B195" s="125"/>
      <c r="C195" s="125"/>
      <c r="D195" s="125"/>
      <c r="E195" s="186"/>
      <c r="F195" s="186"/>
      <c r="G195" s="186"/>
      <c r="H195" s="186"/>
      <c r="I195" s="186"/>
      <c r="J195" s="186"/>
      <c r="K195" s="186"/>
      <c r="L195" s="186"/>
      <c r="M195" s="186"/>
      <c r="N195" s="186"/>
      <c r="O195" s="186"/>
      <c r="P195" s="186"/>
      <c r="Q195" s="186"/>
      <c r="R195" s="186"/>
      <c r="S195" s="186"/>
      <c r="T195" s="186"/>
      <c r="U195" s="125"/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87"/>
      <c r="AF195" s="125"/>
      <c r="AG195" s="125"/>
      <c r="AH195" s="125"/>
      <c r="AI195" s="125"/>
      <c r="AJ195" s="125"/>
      <c r="AK195" s="125"/>
      <c r="AL195" s="125"/>
    </row>
    <row r="196" ht="15.75" customHeight="1">
      <c r="A196" s="125"/>
      <c r="B196" s="125"/>
      <c r="C196" s="125"/>
      <c r="D196" s="125"/>
      <c r="E196" s="186"/>
      <c r="F196" s="186"/>
      <c r="G196" s="186"/>
      <c r="H196" s="186"/>
      <c r="I196" s="186"/>
      <c r="J196" s="186"/>
      <c r="K196" s="186"/>
      <c r="L196" s="186"/>
      <c r="M196" s="186"/>
      <c r="N196" s="186"/>
      <c r="O196" s="186"/>
      <c r="P196" s="186"/>
      <c r="Q196" s="186"/>
      <c r="R196" s="186"/>
      <c r="S196" s="186"/>
      <c r="T196" s="186"/>
      <c r="U196" s="125"/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87"/>
      <c r="AF196" s="125"/>
      <c r="AG196" s="125"/>
      <c r="AH196" s="125"/>
      <c r="AI196" s="125"/>
      <c r="AJ196" s="125"/>
      <c r="AK196" s="125"/>
      <c r="AL196" s="125"/>
    </row>
    <row r="197" ht="15.75" customHeight="1">
      <c r="A197" s="125"/>
      <c r="B197" s="125"/>
      <c r="C197" s="125"/>
      <c r="D197" s="125"/>
      <c r="E197" s="186"/>
      <c r="F197" s="186"/>
      <c r="G197" s="186"/>
      <c r="H197" s="186"/>
      <c r="I197" s="186"/>
      <c r="J197" s="186"/>
      <c r="K197" s="186"/>
      <c r="L197" s="186"/>
      <c r="M197" s="186"/>
      <c r="N197" s="186"/>
      <c r="O197" s="186"/>
      <c r="P197" s="186"/>
      <c r="Q197" s="186"/>
      <c r="R197" s="186"/>
      <c r="S197" s="186"/>
      <c r="T197" s="186"/>
      <c r="U197" s="125"/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87"/>
      <c r="AF197" s="125"/>
      <c r="AG197" s="125"/>
      <c r="AH197" s="125"/>
      <c r="AI197" s="125"/>
      <c r="AJ197" s="125"/>
      <c r="AK197" s="125"/>
      <c r="AL197" s="125"/>
    </row>
    <row r="198" ht="15.75" customHeight="1">
      <c r="A198" s="125"/>
      <c r="B198" s="125"/>
      <c r="C198" s="125"/>
      <c r="D198" s="125"/>
      <c r="E198" s="186"/>
      <c r="F198" s="186"/>
      <c r="G198" s="186"/>
      <c r="H198" s="186"/>
      <c r="I198" s="186"/>
      <c r="J198" s="186"/>
      <c r="K198" s="186"/>
      <c r="L198" s="186"/>
      <c r="M198" s="186"/>
      <c r="N198" s="186"/>
      <c r="O198" s="186"/>
      <c r="P198" s="186"/>
      <c r="Q198" s="186"/>
      <c r="R198" s="186"/>
      <c r="S198" s="186"/>
      <c r="T198" s="186"/>
      <c r="U198" s="125"/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87"/>
      <c r="AF198" s="125"/>
      <c r="AG198" s="125"/>
      <c r="AH198" s="125"/>
      <c r="AI198" s="125"/>
      <c r="AJ198" s="125"/>
      <c r="AK198" s="125"/>
      <c r="AL198" s="125"/>
    </row>
    <row r="199" ht="15.75" customHeight="1">
      <c r="A199" s="125"/>
      <c r="B199" s="125"/>
      <c r="C199" s="125"/>
      <c r="D199" s="125"/>
      <c r="E199" s="186"/>
      <c r="F199" s="186"/>
      <c r="G199" s="186"/>
      <c r="H199" s="186"/>
      <c r="I199" s="186"/>
      <c r="J199" s="186"/>
      <c r="K199" s="186"/>
      <c r="L199" s="186"/>
      <c r="M199" s="186"/>
      <c r="N199" s="186"/>
      <c r="O199" s="186"/>
      <c r="P199" s="186"/>
      <c r="Q199" s="186"/>
      <c r="R199" s="186"/>
      <c r="S199" s="186"/>
      <c r="T199" s="186"/>
      <c r="U199" s="125"/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87"/>
      <c r="AF199" s="125"/>
      <c r="AG199" s="125"/>
      <c r="AH199" s="125"/>
      <c r="AI199" s="125"/>
      <c r="AJ199" s="125"/>
      <c r="AK199" s="125"/>
      <c r="AL199" s="125"/>
    </row>
    <row r="200" ht="15.75" customHeight="1">
      <c r="A200" s="125"/>
      <c r="B200" s="125"/>
      <c r="C200" s="125"/>
      <c r="D200" s="125"/>
      <c r="E200" s="186"/>
      <c r="F200" s="186"/>
      <c r="G200" s="186"/>
      <c r="H200" s="186"/>
      <c r="I200" s="186"/>
      <c r="J200" s="186"/>
      <c r="K200" s="186"/>
      <c r="L200" s="186"/>
      <c r="M200" s="186"/>
      <c r="N200" s="186"/>
      <c r="O200" s="186"/>
      <c r="P200" s="186"/>
      <c r="Q200" s="186"/>
      <c r="R200" s="186"/>
      <c r="S200" s="186"/>
      <c r="T200" s="186"/>
      <c r="U200" s="125"/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87"/>
      <c r="AF200" s="125"/>
      <c r="AG200" s="125"/>
      <c r="AH200" s="125"/>
      <c r="AI200" s="125"/>
      <c r="AJ200" s="125"/>
      <c r="AK200" s="125"/>
      <c r="AL200" s="125"/>
    </row>
    <row r="201" ht="15.75" customHeight="1">
      <c r="A201" s="125"/>
      <c r="B201" s="125"/>
      <c r="C201" s="125"/>
      <c r="D201" s="125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25"/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87"/>
      <c r="AF201" s="125"/>
      <c r="AG201" s="125"/>
      <c r="AH201" s="125"/>
      <c r="AI201" s="125"/>
      <c r="AJ201" s="125"/>
      <c r="AK201" s="125"/>
      <c r="AL201" s="125"/>
    </row>
    <row r="202" ht="15.75" customHeight="1">
      <c r="A202" s="125"/>
      <c r="B202" s="125"/>
      <c r="C202" s="125"/>
      <c r="D202" s="125"/>
      <c r="E202" s="186"/>
      <c r="F202" s="186"/>
      <c r="G202" s="186"/>
      <c r="H202" s="186"/>
      <c r="I202" s="186"/>
      <c r="J202" s="186"/>
      <c r="K202" s="186"/>
      <c r="L202" s="186"/>
      <c r="M202" s="186"/>
      <c r="N202" s="186"/>
      <c r="O202" s="186"/>
      <c r="P202" s="186"/>
      <c r="Q202" s="186"/>
      <c r="R202" s="186"/>
      <c r="S202" s="186"/>
      <c r="T202" s="186"/>
      <c r="U202" s="125"/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87"/>
      <c r="AF202" s="125"/>
      <c r="AG202" s="125"/>
      <c r="AH202" s="125"/>
      <c r="AI202" s="125"/>
      <c r="AJ202" s="125"/>
      <c r="AK202" s="125"/>
      <c r="AL202" s="125"/>
    </row>
    <row r="203" ht="15.75" customHeight="1">
      <c r="A203" s="125"/>
      <c r="B203" s="125"/>
      <c r="C203" s="125"/>
      <c r="D203" s="125"/>
      <c r="E203" s="186"/>
      <c r="F203" s="186"/>
      <c r="G203" s="186"/>
      <c r="H203" s="186"/>
      <c r="I203" s="186"/>
      <c r="J203" s="186"/>
      <c r="K203" s="186"/>
      <c r="L203" s="186"/>
      <c r="M203" s="186"/>
      <c r="N203" s="186"/>
      <c r="O203" s="186"/>
      <c r="P203" s="186"/>
      <c r="Q203" s="186"/>
      <c r="R203" s="186"/>
      <c r="S203" s="186"/>
      <c r="T203" s="186"/>
      <c r="U203" s="125"/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87"/>
      <c r="AF203" s="125"/>
      <c r="AG203" s="125"/>
      <c r="AH203" s="125"/>
      <c r="AI203" s="125"/>
      <c r="AJ203" s="125"/>
      <c r="AK203" s="125"/>
      <c r="AL203" s="125"/>
    </row>
    <row r="204" ht="15.75" customHeight="1">
      <c r="A204" s="125"/>
      <c r="B204" s="125"/>
      <c r="C204" s="125"/>
      <c r="D204" s="125"/>
      <c r="E204" s="186"/>
      <c r="F204" s="186"/>
      <c r="G204" s="186"/>
      <c r="H204" s="186"/>
      <c r="I204" s="186"/>
      <c r="J204" s="186"/>
      <c r="K204" s="186"/>
      <c r="L204" s="186"/>
      <c r="M204" s="186"/>
      <c r="N204" s="186"/>
      <c r="O204" s="186"/>
      <c r="P204" s="186"/>
      <c r="Q204" s="186"/>
      <c r="R204" s="186"/>
      <c r="S204" s="186"/>
      <c r="T204" s="186"/>
      <c r="U204" s="125"/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87"/>
      <c r="AF204" s="125"/>
      <c r="AG204" s="125"/>
      <c r="AH204" s="125"/>
      <c r="AI204" s="125"/>
      <c r="AJ204" s="125"/>
      <c r="AK204" s="125"/>
      <c r="AL204" s="125"/>
    </row>
    <row r="205" ht="15.75" customHeight="1">
      <c r="A205" s="125"/>
      <c r="B205" s="125"/>
      <c r="C205" s="125"/>
      <c r="D205" s="125"/>
      <c r="E205" s="186"/>
      <c r="F205" s="186"/>
      <c r="G205" s="186"/>
      <c r="H205" s="186"/>
      <c r="I205" s="186"/>
      <c r="J205" s="186"/>
      <c r="K205" s="186"/>
      <c r="L205" s="186"/>
      <c r="M205" s="186"/>
      <c r="N205" s="186"/>
      <c r="O205" s="186"/>
      <c r="P205" s="186"/>
      <c r="Q205" s="186"/>
      <c r="R205" s="186"/>
      <c r="S205" s="186"/>
      <c r="T205" s="186"/>
      <c r="U205" s="125"/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87"/>
      <c r="AF205" s="125"/>
      <c r="AG205" s="125"/>
      <c r="AH205" s="125"/>
      <c r="AI205" s="125"/>
      <c r="AJ205" s="125"/>
      <c r="AK205" s="125"/>
      <c r="AL205" s="125"/>
    </row>
    <row r="206" ht="15.75" customHeight="1">
      <c r="A206" s="125"/>
      <c r="B206" s="125"/>
      <c r="C206" s="125"/>
      <c r="D206" s="125"/>
      <c r="E206" s="186"/>
      <c r="F206" s="186"/>
      <c r="G206" s="186"/>
      <c r="H206" s="186"/>
      <c r="I206" s="186"/>
      <c r="J206" s="186"/>
      <c r="K206" s="186"/>
      <c r="L206" s="186"/>
      <c r="M206" s="186"/>
      <c r="N206" s="186"/>
      <c r="O206" s="186"/>
      <c r="P206" s="186"/>
      <c r="Q206" s="186"/>
      <c r="R206" s="186"/>
      <c r="S206" s="186"/>
      <c r="T206" s="186"/>
      <c r="U206" s="125"/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87"/>
      <c r="AF206" s="125"/>
      <c r="AG206" s="125"/>
      <c r="AH206" s="125"/>
      <c r="AI206" s="125"/>
      <c r="AJ206" s="125"/>
      <c r="AK206" s="125"/>
      <c r="AL206" s="125"/>
    </row>
    <row r="207" ht="15.75" customHeight="1">
      <c r="A207" s="125"/>
      <c r="B207" s="125"/>
      <c r="C207" s="125"/>
      <c r="D207" s="125"/>
      <c r="E207" s="186"/>
      <c r="F207" s="186"/>
      <c r="G207" s="186"/>
      <c r="H207" s="186"/>
      <c r="I207" s="186"/>
      <c r="J207" s="186"/>
      <c r="K207" s="186"/>
      <c r="L207" s="186"/>
      <c r="M207" s="186"/>
      <c r="N207" s="186"/>
      <c r="O207" s="186"/>
      <c r="P207" s="186"/>
      <c r="Q207" s="186"/>
      <c r="R207" s="186"/>
      <c r="S207" s="186"/>
      <c r="T207" s="186"/>
      <c r="U207" s="125"/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87"/>
      <c r="AF207" s="125"/>
      <c r="AG207" s="125"/>
      <c r="AH207" s="125"/>
      <c r="AI207" s="125"/>
      <c r="AJ207" s="125"/>
      <c r="AK207" s="125"/>
      <c r="AL207" s="125"/>
    </row>
    <row r="208" ht="15.75" customHeight="1">
      <c r="A208" s="125"/>
      <c r="B208" s="125"/>
      <c r="C208" s="125"/>
      <c r="D208" s="125"/>
      <c r="E208" s="186"/>
      <c r="F208" s="186"/>
      <c r="G208" s="186"/>
      <c r="H208" s="186"/>
      <c r="I208" s="186"/>
      <c r="J208" s="186"/>
      <c r="K208" s="186"/>
      <c r="L208" s="186"/>
      <c r="M208" s="186"/>
      <c r="N208" s="186"/>
      <c r="O208" s="186"/>
      <c r="P208" s="186"/>
      <c r="Q208" s="186"/>
      <c r="R208" s="186"/>
      <c r="S208" s="186"/>
      <c r="T208" s="186"/>
      <c r="U208" s="125"/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87"/>
      <c r="AF208" s="125"/>
      <c r="AG208" s="125"/>
      <c r="AH208" s="125"/>
      <c r="AI208" s="125"/>
      <c r="AJ208" s="125"/>
      <c r="AK208" s="125"/>
      <c r="AL208" s="125"/>
    </row>
    <row r="209" ht="15.75" customHeight="1">
      <c r="A209" s="125"/>
      <c r="B209" s="125"/>
      <c r="C209" s="125"/>
      <c r="D209" s="125"/>
      <c r="E209" s="186"/>
      <c r="F209" s="186"/>
      <c r="G209" s="186"/>
      <c r="H209" s="186"/>
      <c r="I209" s="186"/>
      <c r="J209" s="186"/>
      <c r="K209" s="186"/>
      <c r="L209" s="186"/>
      <c r="M209" s="186"/>
      <c r="N209" s="186"/>
      <c r="O209" s="186"/>
      <c r="P209" s="186"/>
      <c r="Q209" s="186"/>
      <c r="R209" s="186"/>
      <c r="S209" s="186"/>
      <c r="T209" s="186"/>
      <c r="U209" s="125"/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87"/>
      <c r="AF209" s="125"/>
      <c r="AG209" s="125"/>
      <c r="AH209" s="125"/>
      <c r="AI209" s="125"/>
      <c r="AJ209" s="125"/>
      <c r="AK209" s="125"/>
      <c r="AL209" s="125"/>
    </row>
    <row r="210" ht="15.75" customHeight="1">
      <c r="A210" s="125"/>
      <c r="B210" s="125"/>
      <c r="C210" s="125"/>
      <c r="D210" s="125"/>
      <c r="E210" s="186"/>
      <c r="F210" s="186"/>
      <c r="G210" s="186"/>
      <c r="H210" s="186"/>
      <c r="I210" s="186"/>
      <c r="J210" s="186"/>
      <c r="K210" s="186"/>
      <c r="L210" s="186"/>
      <c r="M210" s="186"/>
      <c r="N210" s="186"/>
      <c r="O210" s="186"/>
      <c r="P210" s="186"/>
      <c r="Q210" s="186"/>
      <c r="R210" s="186"/>
      <c r="S210" s="186"/>
      <c r="T210" s="186"/>
      <c r="U210" s="125"/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87"/>
      <c r="AF210" s="125"/>
      <c r="AG210" s="125"/>
      <c r="AH210" s="125"/>
      <c r="AI210" s="125"/>
      <c r="AJ210" s="125"/>
      <c r="AK210" s="125"/>
      <c r="AL210" s="125"/>
    </row>
    <row r="211" ht="15.75" customHeight="1">
      <c r="A211" s="125"/>
      <c r="B211" s="125"/>
      <c r="C211" s="125"/>
      <c r="D211" s="125"/>
      <c r="E211" s="186"/>
      <c r="F211" s="186"/>
      <c r="G211" s="186"/>
      <c r="H211" s="186"/>
      <c r="I211" s="186"/>
      <c r="J211" s="186"/>
      <c r="K211" s="186"/>
      <c r="L211" s="186"/>
      <c r="M211" s="186"/>
      <c r="N211" s="186"/>
      <c r="O211" s="186"/>
      <c r="P211" s="186"/>
      <c r="Q211" s="186"/>
      <c r="R211" s="186"/>
      <c r="S211" s="186"/>
      <c r="T211" s="186"/>
      <c r="U211" s="125"/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87"/>
      <c r="AF211" s="125"/>
      <c r="AG211" s="125"/>
      <c r="AH211" s="125"/>
      <c r="AI211" s="125"/>
      <c r="AJ211" s="125"/>
      <c r="AK211" s="125"/>
      <c r="AL211" s="125"/>
    </row>
    <row r="212" ht="15.75" customHeight="1">
      <c r="A212" s="125"/>
      <c r="B212" s="125"/>
      <c r="C212" s="125"/>
      <c r="D212" s="125"/>
      <c r="E212" s="186"/>
      <c r="F212" s="186"/>
      <c r="G212" s="186"/>
      <c r="H212" s="186"/>
      <c r="I212" s="186"/>
      <c r="J212" s="186"/>
      <c r="K212" s="186"/>
      <c r="L212" s="186"/>
      <c r="M212" s="186"/>
      <c r="N212" s="186"/>
      <c r="O212" s="186"/>
      <c r="P212" s="186"/>
      <c r="Q212" s="186"/>
      <c r="R212" s="186"/>
      <c r="S212" s="186"/>
      <c r="T212" s="186"/>
      <c r="U212" s="125"/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87"/>
      <c r="AF212" s="125"/>
      <c r="AG212" s="125"/>
      <c r="AH212" s="125"/>
      <c r="AI212" s="125"/>
      <c r="AJ212" s="125"/>
      <c r="AK212" s="125"/>
      <c r="AL212" s="125"/>
    </row>
    <row r="213" ht="15.75" customHeight="1">
      <c r="A213" s="125"/>
      <c r="B213" s="125"/>
      <c r="C213" s="125"/>
      <c r="D213" s="125"/>
      <c r="E213" s="186"/>
      <c r="F213" s="186"/>
      <c r="G213" s="186"/>
      <c r="H213" s="186"/>
      <c r="I213" s="186"/>
      <c r="J213" s="186"/>
      <c r="K213" s="186"/>
      <c r="L213" s="186"/>
      <c r="M213" s="186"/>
      <c r="N213" s="186"/>
      <c r="O213" s="186"/>
      <c r="P213" s="186"/>
      <c r="Q213" s="186"/>
      <c r="R213" s="186"/>
      <c r="S213" s="186"/>
      <c r="T213" s="186"/>
      <c r="U213" s="125"/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87"/>
      <c r="AF213" s="125"/>
      <c r="AG213" s="125"/>
      <c r="AH213" s="125"/>
      <c r="AI213" s="125"/>
      <c r="AJ213" s="125"/>
      <c r="AK213" s="125"/>
      <c r="AL213" s="125"/>
    </row>
    <row r="214" ht="15.75" customHeight="1">
      <c r="A214" s="125"/>
      <c r="B214" s="125"/>
      <c r="C214" s="125"/>
      <c r="D214" s="125"/>
      <c r="E214" s="186"/>
      <c r="F214" s="186"/>
      <c r="G214" s="186"/>
      <c r="H214" s="186"/>
      <c r="I214" s="186"/>
      <c r="J214" s="186"/>
      <c r="K214" s="186"/>
      <c r="L214" s="186"/>
      <c r="M214" s="186"/>
      <c r="N214" s="186"/>
      <c r="O214" s="186"/>
      <c r="P214" s="186"/>
      <c r="Q214" s="186"/>
      <c r="R214" s="186"/>
      <c r="S214" s="186"/>
      <c r="T214" s="186"/>
      <c r="U214" s="125"/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87"/>
      <c r="AF214" s="125"/>
      <c r="AG214" s="125"/>
      <c r="AH214" s="125"/>
      <c r="AI214" s="125"/>
      <c r="AJ214" s="125"/>
      <c r="AK214" s="125"/>
      <c r="AL214" s="125"/>
    </row>
    <row r="215" ht="15.75" customHeight="1">
      <c r="A215" s="125"/>
      <c r="B215" s="125"/>
      <c r="C215" s="125"/>
      <c r="D215" s="125"/>
      <c r="E215" s="186"/>
      <c r="F215" s="186"/>
      <c r="G215" s="186"/>
      <c r="H215" s="186"/>
      <c r="I215" s="186"/>
      <c r="J215" s="186"/>
      <c r="K215" s="186"/>
      <c r="L215" s="186"/>
      <c r="M215" s="186"/>
      <c r="N215" s="186"/>
      <c r="O215" s="186"/>
      <c r="P215" s="186"/>
      <c r="Q215" s="186"/>
      <c r="R215" s="186"/>
      <c r="S215" s="186"/>
      <c r="T215" s="186"/>
      <c r="U215" s="125"/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87"/>
      <c r="AF215" s="125"/>
      <c r="AG215" s="125"/>
      <c r="AH215" s="125"/>
      <c r="AI215" s="125"/>
      <c r="AJ215" s="125"/>
      <c r="AK215" s="125"/>
      <c r="AL215" s="125"/>
    </row>
    <row r="216" ht="15.75" customHeight="1">
      <c r="A216" s="125"/>
      <c r="B216" s="125"/>
      <c r="C216" s="125"/>
      <c r="D216" s="125"/>
      <c r="E216" s="186"/>
      <c r="F216" s="186"/>
      <c r="G216" s="186"/>
      <c r="H216" s="186"/>
      <c r="I216" s="186"/>
      <c r="J216" s="186"/>
      <c r="K216" s="186"/>
      <c r="L216" s="186"/>
      <c r="M216" s="186"/>
      <c r="N216" s="186"/>
      <c r="O216" s="186"/>
      <c r="P216" s="186"/>
      <c r="Q216" s="186"/>
      <c r="R216" s="186"/>
      <c r="S216" s="186"/>
      <c r="T216" s="186"/>
      <c r="U216" s="125"/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87"/>
      <c r="AF216" s="125"/>
      <c r="AG216" s="125"/>
      <c r="AH216" s="125"/>
      <c r="AI216" s="125"/>
      <c r="AJ216" s="125"/>
      <c r="AK216" s="125"/>
      <c r="AL216" s="125"/>
    </row>
    <row r="217" ht="15.75" customHeight="1">
      <c r="A217" s="125"/>
      <c r="B217" s="125"/>
      <c r="C217" s="125"/>
      <c r="D217" s="125"/>
      <c r="E217" s="186"/>
      <c r="F217" s="186"/>
      <c r="G217" s="186"/>
      <c r="H217" s="186"/>
      <c r="I217" s="186"/>
      <c r="J217" s="186"/>
      <c r="K217" s="186"/>
      <c r="L217" s="186"/>
      <c r="M217" s="186"/>
      <c r="N217" s="186"/>
      <c r="O217" s="186"/>
      <c r="P217" s="186"/>
      <c r="Q217" s="186"/>
      <c r="R217" s="186"/>
      <c r="S217" s="186"/>
      <c r="T217" s="186"/>
      <c r="U217" s="125"/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87"/>
      <c r="AF217" s="125"/>
      <c r="AG217" s="125"/>
      <c r="AH217" s="125"/>
      <c r="AI217" s="125"/>
      <c r="AJ217" s="125"/>
      <c r="AK217" s="125"/>
      <c r="AL217" s="125"/>
    </row>
    <row r="218" ht="15.75" customHeight="1">
      <c r="A218" s="125"/>
      <c r="B218" s="125"/>
      <c r="C218" s="125"/>
      <c r="D218" s="125"/>
      <c r="E218" s="186"/>
      <c r="F218" s="186"/>
      <c r="G218" s="186"/>
      <c r="H218" s="186"/>
      <c r="I218" s="186"/>
      <c r="J218" s="186"/>
      <c r="K218" s="186"/>
      <c r="L218" s="186"/>
      <c r="M218" s="186"/>
      <c r="N218" s="186"/>
      <c r="O218" s="186"/>
      <c r="P218" s="186"/>
      <c r="Q218" s="186"/>
      <c r="R218" s="186"/>
      <c r="S218" s="186"/>
      <c r="T218" s="186"/>
      <c r="U218" s="125"/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87"/>
      <c r="AF218" s="125"/>
      <c r="AG218" s="125"/>
      <c r="AH218" s="125"/>
      <c r="AI218" s="125"/>
      <c r="AJ218" s="125"/>
      <c r="AK218" s="125"/>
      <c r="AL218" s="125"/>
    </row>
    <row r="219" ht="15.75" customHeight="1">
      <c r="A219" s="125"/>
      <c r="B219" s="125"/>
      <c r="C219" s="125"/>
      <c r="D219" s="125"/>
      <c r="E219" s="186"/>
      <c r="F219" s="186"/>
      <c r="G219" s="186"/>
      <c r="H219" s="186"/>
      <c r="I219" s="186"/>
      <c r="J219" s="186"/>
      <c r="K219" s="186"/>
      <c r="L219" s="186"/>
      <c r="M219" s="186"/>
      <c r="N219" s="186"/>
      <c r="O219" s="186"/>
      <c r="P219" s="186"/>
      <c r="Q219" s="186"/>
      <c r="R219" s="186"/>
      <c r="S219" s="186"/>
      <c r="T219" s="186"/>
      <c r="U219" s="125"/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87"/>
      <c r="AF219" s="125"/>
      <c r="AG219" s="125"/>
      <c r="AH219" s="125"/>
      <c r="AI219" s="125"/>
      <c r="AJ219" s="125"/>
      <c r="AK219" s="125"/>
      <c r="AL219" s="125"/>
    </row>
    <row r="220" ht="15.75" customHeight="1">
      <c r="A220" s="125"/>
      <c r="B220" s="125"/>
      <c r="C220" s="125"/>
      <c r="D220" s="125"/>
      <c r="E220" s="186"/>
      <c r="F220" s="186"/>
      <c r="G220" s="186"/>
      <c r="H220" s="186"/>
      <c r="I220" s="186"/>
      <c r="J220" s="186"/>
      <c r="K220" s="186"/>
      <c r="L220" s="186"/>
      <c r="M220" s="186"/>
      <c r="N220" s="186"/>
      <c r="O220" s="186"/>
      <c r="P220" s="186"/>
      <c r="Q220" s="186"/>
      <c r="R220" s="186"/>
      <c r="S220" s="186"/>
      <c r="T220" s="186"/>
      <c r="U220" s="125"/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87"/>
      <c r="AF220" s="125"/>
      <c r="AG220" s="125"/>
      <c r="AH220" s="125"/>
      <c r="AI220" s="125"/>
      <c r="AJ220" s="125"/>
      <c r="AK220" s="125"/>
      <c r="AL220" s="125"/>
    </row>
    <row r="221" ht="15.75" customHeight="1">
      <c r="A221" s="125"/>
      <c r="B221" s="125"/>
      <c r="C221" s="125"/>
      <c r="D221" s="125"/>
      <c r="E221" s="186"/>
      <c r="F221" s="186"/>
      <c r="G221" s="186"/>
      <c r="H221" s="186"/>
      <c r="I221" s="186"/>
      <c r="J221" s="186"/>
      <c r="K221" s="186"/>
      <c r="L221" s="186"/>
      <c r="M221" s="186"/>
      <c r="N221" s="186"/>
      <c r="O221" s="186"/>
      <c r="P221" s="186"/>
      <c r="Q221" s="186"/>
      <c r="R221" s="186"/>
      <c r="S221" s="186"/>
      <c r="T221" s="186"/>
      <c r="U221" s="125"/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87"/>
      <c r="AF221" s="125"/>
      <c r="AG221" s="125"/>
      <c r="AH221" s="125"/>
      <c r="AI221" s="125"/>
      <c r="AJ221" s="125"/>
      <c r="AK221" s="125"/>
      <c r="AL221" s="125"/>
    </row>
    <row r="222" ht="15.75" customHeight="1">
      <c r="A222" s="125"/>
      <c r="B222" s="125"/>
      <c r="C222" s="125"/>
      <c r="D222" s="125"/>
      <c r="E222" s="186"/>
      <c r="F222" s="186"/>
      <c r="G222" s="186"/>
      <c r="H222" s="186"/>
      <c r="I222" s="186"/>
      <c r="J222" s="186"/>
      <c r="K222" s="186"/>
      <c r="L222" s="186"/>
      <c r="M222" s="186"/>
      <c r="N222" s="186"/>
      <c r="O222" s="186"/>
      <c r="P222" s="186"/>
      <c r="Q222" s="186"/>
      <c r="R222" s="186"/>
      <c r="S222" s="186"/>
      <c r="T222" s="186"/>
      <c r="U222" s="125"/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87"/>
      <c r="AF222" s="125"/>
      <c r="AG222" s="125"/>
      <c r="AH222" s="125"/>
      <c r="AI222" s="125"/>
      <c r="AJ222" s="125"/>
      <c r="AK222" s="125"/>
      <c r="AL222" s="125"/>
    </row>
    <row r="223" ht="15.75" customHeight="1">
      <c r="A223" s="125"/>
      <c r="B223" s="125"/>
      <c r="C223" s="125"/>
      <c r="D223" s="125"/>
      <c r="E223" s="186"/>
      <c r="F223" s="186"/>
      <c r="G223" s="186"/>
      <c r="H223" s="186"/>
      <c r="I223" s="186"/>
      <c r="J223" s="186"/>
      <c r="K223" s="186"/>
      <c r="L223" s="186"/>
      <c r="M223" s="186"/>
      <c r="N223" s="186"/>
      <c r="O223" s="186"/>
      <c r="P223" s="186"/>
      <c r="Q223" s="186"/>
      <c r="R223" s="186"/>
      <c r="S223" s="186"/>
      <c r="T223" s="186"/>
      <c r="U223" s="125"/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87"/>
      <c r="AF223" s="125"/>
      <c r="AG223" s="125"/>
      <c r="AH223" s="125"/>
      <c r="AI223" s="125"/>
      <c r="AJ223" s="125"/>
      <c r="AK223" s="125"/>
      <c r="AL223" s="125"/>
    </row>
    <row r="224" ht="15.75" customHeight="1">
      <c r="A224" s="125"/>
      <c r="B224" s="125"/>
      <c r="C224" s="125"/>
      <c r="D224" s="125"/>
      <c r="E224" s="186"/>
      <c r="F224" s="186"/>
      <c r="G224" s="186"/>
      <c r="H224" s="186"/>
      <c r="I224" s="186"/>
      <c r="J224" s="186"/>
      <c r="K224" s="186"/>
      <c r="L224" s="186"/>
      <c r="M224" s="186"/>
      <c r="N224" s="186"/>
      <c r="O224" s="186"/>
      <c r="P224" s="186"/>
      <c r="Q224" s="186"/>
      <c r="R224" s="186"/>
      <c r="S224" s="186"/>
      <c r="T224" s="186"/>
      <c r="U224" s="125"/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87"/>
      <c r="AF224" s="125"/>
      <c r="AG224" s="125"/>
      <c r="AH224" s="125"/>
      <c r="AI224" s="125"/>
      <c r="AJ224" s="125"/>
      <c r="AK224" s="125"/>
      <c r="AL224" s="125"/>
    </row>
    <row r="225" ht="15.75" customHeight="1">
      <c r="A225" s="125"/>
      <c r="B225" s="125"/>
      <c r="C225" s="125"/>
      <c r="D225" s="125"/>
      <c r="E225" s="186"/>
      <c r="F225" s="186"/>
      <c r="G225" s="186"/>
      <c r="H225" s="186"/>
      <c r="I225" s="186"/>
      <c r="J225" s="186"/>
      <c r="K225" s="186"/>
      <c r="L225" s="186"/>
      <c r="M225" s="186"/>
      <c r="N225" s="186"/>
      <c r="O225" s="186"/>
      <c r="P225" s="186"/>
      <c r="Q225" s="186"/>
      <c r="R225" s="186"/>
      <c r="S225" s="186"/>
      <c r="T225" s="186"/>
      <c r="U225" s="125"/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87"/>
      <c r="AF225" s="125"/>
      <c r="AG225" s="125"/>
      <c r="AH225" s="125"/>
      <c r="AI225" s="125"/>
      <c r="AJ225" s="125"/>
      <c r="AK225" s="125"/>
      <c r="AL225" s="125"/>
    </row>
    <row r="226" ht="15.75" customHeight="1">
      <c r="A226" s="125"/>
      <c r="B226" s="125"/>
      <c r="C226" s="125"/>
      <c r="D226" s="125"/>
      <c r="E226" s="186"/>
      <c r="F226" s="186"/>
      <c r="G226" s="186"/>
      <c r="H226" s="186"/>
      <c r="I226" s="186"/>
      <c r="J226" s="186"/>
      <c r="K226" s="186"/>
      <c r="L226" s="186"/>
      <c r="M226" s="186"/>
      <c r="N226" s="186"/>
      <c r="O226" s="186"/>
      <c r="P226" s="186"/>
      <c r="Q226" s="186"/>
      <c r="R226" s="186"/>
      <c r="S226" s="186"/>
      <c r="T226" s="186"/>
      <c r="U226" s="125"/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87"/>
      <c r="AF226" s="125"/>
      <c r="AG226" s="125"/>
      <c r="AH226" s="125"/>
      <c r="AI226" s="125"/>
      <c r="AJ226" s="125"/>
      <c r="AK226" s="125"/>
      <c r="AL226" s="125"/>
    </row>
    <row r="227" ht="15.75" customHeight="1">
      <c r="A227" s="125"/>
      <c r="B227" s="125"/>
      <c r="C227" s="125"/>
      <c r="D227" s="125"/>
      <c r="E227" s="186"/>
      <c r="F227" s="186"/>
      <c r="G227" s="186"/>
      <c r="H227" s="186"/>
      <c r="I227" s="186"/>
      <c r="J227" s="186"/>
      <c r="K227" s="186"/>
      <c r="L227" s="186"/>
      <c r="M227" s="186"/>
      <c r="N227" s="186"/>
      <c r="O227" s="186"/>
      <c r="P227" s="186"/>
      <c r="Q227" s="186"/>
      <c r="R227" s="186"/>
      <c r="S227" s="186"/>
      <c r="T227" s="186"/>
      <c r="U227" s="125"/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87"/>
      <c r="AF227" s="125"/>
      <c r="AG227" s="125"/>
      <c r="AH227" s="125"/>
      <c r="AI227" s="125"/>
      <c r="AJ227" s="125"/>
      <c r="AK227" s="125"/>
      <c r="AL227" s="125"/>
    </row>
    <row r="228" ht="15.75" customHeight="1">
      <c r="A228" s="125"/>
      <c r="B228" s="125"/>
      <c r="C228" s="125"/>
      <c r="D228" s="125"/>
      <c r="E228" s="186"/>
      <c r="F228" s="186"/>
      <c r="G228" s="186"/>
      <c r="H228" s="186"/>
      <c r="I228" s="186"/>
      <c r="J228" s="186"/>
      <c r="K228" s="186"/>
      <c r="L228" s="186"/>
      <c r="M228" s="186"/>
      <c r="N228" s="186"/>
      <c r="O228" s="186"/>
      <c r="P228" s="186"/>
      <c r="Q228" s="186"/>
      <c r="R228" s="186"/>
      <c r="S228" s="186"/>
      <c r="T228" s="186"/>
      <c r="U228" s="125"/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87"/>
      <c r="AF228" s="125"/>
      <c r="AG228" s="125"/>
      <c r="AH228" s="125"/>
      <c r="AI228" s="125"/>
      <c r="AJ228" s="125"/>
      <c r="AK228" s="125"/>
      <c r="AL228" s="125"/>
    </row>
    <row r="229" ht="15.75" customHeight="1">
      <c r="A229" s="125"/>
      <c r="B229" s="125"/>
      <c r="C229" s="125"/>
      <c r="D229" s="125"/>
      <c r="E229" s="186"/>
      <c r="F229" s="186"/>
      <c r="G229" s="186"/>
      <c r="H229" s="186"/>
      <c r="I229" s="186"/>
      <c r="J229" s="186"/>
      <c r="K229" s="186"/>
      <c r="L229" s="186"/>
      <c r="M229" s="186"/>
      <c r="N229" s="186"/>
      <c r="O229" s="186"/>
      <c r="P229" s="186"/>
      <c r="Q229" s="186"/>
      <c r="R229" s="186"/>
      <c r="S229" s="186"/>
      <c r="T229" s="186"/>
      <c r="U229" s="125"/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87"/>
      <c r="AF229" s="125"/>
      <c r="AG229" s="125"/>
      <c r="AH229" s="125"/>
      <c r="AI229" s="125"/>
      <c r="AJ229" s="125"/>
      <c r="AK229" s="125"/>
      <c r="AL229" s="125"/>
    </row>
    <row r="230" ht="15.75" customHeight="1">
      <c r="A230" s="125"/>
      <c r="B230" s="125"/>
      <c r="C230" s="125"/>
      <c r="D230" s="125"/>
      <c r="E230" s="186"/>
      <c r="F230" s="186"/>
      <c r="G230" s="186"/>
      <c r="H230" s="186"/>
      <c r="I230" s="186"/>
      <c r="J230" s="186"/>
      <c r="K230" s="186"/>
      <c r="L230" s="186"/>
      <c r="M230" s="186"/>
      <c r="N230" s="186"/>
      <c r="O230" s="186"/>
      <c r="P230" s="186"/>
      <c r="Q230" s="186"/>
      <c r="R230" s="186"/>
      <c r="S230" s="186"/>
      <c r="T230" s="186"/>
      <c r="U230" s="125"/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87"/>
      <c r="AF230" s="125"/>
      <c r="AG230" s="125"/>
      <c r="AH230" s="125"/>
      <c r="AI230" s="125"/>
      <c r="AJ230" s="125"/>
      <c r="AK230" s="125"/>
      <c r="AL230" s="125"/>
    </row>
    <row r="231" ht="15.75" customHeight="1">
      <c r="A231" s="125"/>
      <c r="B231" s="125"/>
      <c r="C231" s="125"/>
      <c r="D231" s="125"/>
      <c r="E231" s="186"/>
      <c r="F231" s="186"/>
      <c r="G231" s="186"/>
      <c r="H231" s="186"/>
      <c r="I231" s="186"/>
      <c r="J231" s="186"/>
      <c r="K231" s="186"/>
      <c r="L231" s="186"/>
      <c r="M231" s="186"/>
      <c r="N231" s="186"/>
      <c r="O231" s="186"/>
      <c r="P231" s="186"/>
      <c r="Q231" s="186"/>
      <c r="R231" s="186"/>
      <c r="S231" s="186"/>
      <c r="T231" s="186"/>
      <c r="U231" s="125"/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87"/>
      <c r="AF231" s="125"/>
      <c r="AG231" s="125"/>
      <c r="AH231" s="125"/>
      <c r="AI231" s="125"/>
      <c r="AJ231" s="125"/>
      <c r="AK231" s="125"/>
      <c r="AL231" s="125"/>
    </row>
    <row r="232" ht="15.75" customHeight="1">
      <c r="A232" s="125"/>
      <c r="B232" s="125"/>
      <c r="C232" s="125"/>
      <c r="D232" s="125"/>
      <c r="E232" s="186"/>
      <c r="F232" s="186"/>
      <c r="G232" s="186"/>
      <c r="H232" s="186"/>
      <c r="I232" s="186"/>
      <c r="J232" s="186"/>
      <c r="K232" s="186"/>
      <c r="L232" s="186"/>
      <c r="M232" s="186"/>
      <c r="N232" s="186"/>
      <c r="O232" s="186"/>
      <c r="P232" s="186"/>
      <c r="Q232" s="186"/>
      <c r="R232" s="186"/>
      <c r="S232" s="186"/>
      <c r="T232" s="186"/>
      <c r="U232" s="125"/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87"/>
      <c r="AF232" s="125"/>
      <c r="AG232" s="125"/>
      <c r="AH232" s="125"/>
      <c r="AI232" s="125"/>
      <c r="AJ232" s="125"/>
      <c r="AK232" s="125"/>
      <c r="AL232" s="125"/>
    </row>
    <row r="233" ht="15.75" customHeight="1">
      <c r="A233" s="125"/>
      <c r="B233" s="125"/>
      <c r="C233" s="125"/>
      <c r="D233" s="125"/>
      <c r="E233" s="186"/>
      <c r="F233" s="186"/>
      <c r="G233" s="186"/>
      <c r="H233" s="186"/>
      <c r="I233" s="186"/>
      <c r="J233" s="186"/>
      <c r="K233" s="186"/>
      <c r="L233" s="186"/>
      <c r="M233" s="186"/>
      <c r="N233" s="186"/>
      <c r="O233" s="186"/>
      <c r="P233" s="186"/>
      <c r="Q233" s="186"/>
      <c r="R233" s="186"/>
      <c r="S233" s="186"/>
      <c r="T233" s="186"/>
      <c r="U233" s="125"/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87"/>
      <c r="AF233" s="125"/>
      <c r="AG233" s="125"/>
      <c r="AH233" s="125"/>
      <c r="AI233" s="125"/>
      <c r="AJ233" s="125"/>
      <c r="AK233" s="125"/>
      <c r="AL233" s="125"/>
    </row>
    <row r="234" ht="15.75" customHeight="1">
      <c r="A234" s="125"/>
      <c r="B234" s="125"/>
      <c r="C234" s="125"/>
      <c r="D234" s="125"/>
      <c r="E234" s="186"/>
      <c r="F234" s="186"/>
      <c r="G234" s="186"/>
      <c r="H234" s="186"/>
      <c r="I234" s="186"/>
      <c r="J234" s="186"/>
      <c r="K234" s="186"/>
      <c r="L234" s="186"/>
      <c r="M234" s="186"/>
      <c r="N234" s="186"/>
      <c r="O234" s="186"/>
      <c r="P234" s="186"/>
      <c r="Q234" s="186"/>
      <c r="R234" s="186"/>
      <c r="S234" s="186"/>
      <c r="T234" s="186"/>
      <c r="U234" s="125"/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87"/>
      <c r="AF234" s="125"/>
      <c r="AG234" s="125"/>
      <c r="AH234" s="125"/>
      <c r="AI234" s="125"/>
      <c r="AJ234" s="125"/>
      <c r="AK234" s="125"/>
      <c r="AL234" s="125"/>
    </row>
    <row r="235" ht="15.75" customHeight="1">
      <c r="A235" s="125"/>
      <c r="B235" s="125"/>
      <c r="C235" s="125"/>
      <c r="D235" s="125"/>
      <c r="E235" s="186"/>
      <c r="F235" s="186"/>
      <c r="G235" s="186"/>
      <c r="H235" s="186"/>
      <c r="I235" s="186"/>
      <c r="J235" s="186"/>
      <c r="K235" s="186"/>
      <c r="L235" s="186"/>
      <c r="M235" s="186"/>
      <c r="N235" s="186"/>
      <c r="O235" s="186"/>
      <c r="P235" s="186"/>
      <c r="Q235" s="186"/>
      <c r="R235" s="186"/>
      <c r="S235" s="186"/>
      <c r="T235" s="186"/>
      <c r="U235" s="125"/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87"/>
      <c r="AF235" s="125"/>
      <c r="AG235" s="125"/>
      <c r="AH235" s="125"/>
      <c r="AI235" s="125"/>
      <c r="AJ235" s="125"/>
      <c r="AK235" s="125"/>
      <c r="AL235" s="125"/>
    </row>
    <row r="236" ht="15.75" customHeight="1">
      <c r="A236" s="125"/>
      <c r="B236" s="125"/>
      <c r="C236" s="125"/>
      <c r="D236" s="125"/>
      <c r="E236" s="186"/>
      <c r="F236" s="186"/>
      <c r="G236" s="186"/>
      <c r="H236" s="186"/>
      <c r="I236" s="186"/>
      <c r="J236" s="186"/>
      <c r="K236" s="186"/>
      <c r="L236" s="186"/>
      <c r="M236" s="186"/>
      <c r="N236" s="186"/>
      <c r="O236" s="186"/>
      <c r="P236" s="186"/>
      <c r="Q236" s="186"/>
      <c r="R236" s="186"/>
      <c r="S236" s="186"/>
      <c r="T236" s="186"/>
      <c r="U236" s="125"/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87"/>
      <c r="AF236" s="125"/>
      <c r="AG236" s="125"/>
      <c r="AH236" s="125"/>
      <c r="AI236" s="125"/>
      <c r="AJ236" s="125"/>
      <c r="AK236" s="125"/>
      <c r="AL236" s="125"/>
    </row>
    <row r="237" ht="15.75" customHeight="1">
      <c r="A237" s="125"/>
      <c r="B237" s="125"/>
      <c r="C237" s="125"/>
      <c r="D237" s="125"/>
      <c r="E237" s="186"/>
      <c r="F237" s="186"/>
      <c r="G237" s="186"/>
      <c r="H237" s="186"/>
      <c r="I237" s="186"/>
      <c r="J237" s="186"/>
      <c r="K237" s="186"/>
      <c r="L237" s="186"/>
      <c r="M237" s="186"/>
      <c r="N237" s="186"/>
      <c r="O237" s="186"/>
      <c r="P237" s="186"/>
      <c r="Q237" s="186"/>
      <c r="R237" s="186"/>
      <c r="S237" s="186"/>
      <c r="T237" s="186"/>
      <c r="U237" s="125"/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87"/>
      <c r="AF237" s="125"/>
      <c r="AG237" s="125"/>
      <c r="AH237" s="125"/>
      <c r="AI237" s="125"/>
      <c r="AJ237" s="125"/>
      <c r="AK237" s="125"/>
      <c r="AL237" s="125"/>
    </row>
    <row r="238" ht="15.75" customHeight="1">
      <c r="A238" s="125"/>
      <c r="B238" s="125"/>
      <c r="C238" s="125"/>
      <c r="D238" s="125"/>
      <c r="E238" s="186"/>
      <c r="F238" s="186"/>
      <c r="G238" s="186"/>
      <c r="H238" s="186"/>
      <c r="I238" s="186"/>
      <c r="J238" s="186"/>
      <c r="K238" s="186"/>
      <c r="L238" s="186"/>
      <c r="M238" s="186"/>
      <c r="N238" s="186"/>
      <c r="O238" s="186"/>
      <c r="P238" s="186"/>
      <c r="Q238" s="186"/>
      <c r="R238" s="186"/>
      <c r="S238" s="186"/>
      <c r="T238" s="186"/>
      <c r="U238" s="125"/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87"/>
      <c r="AF238" s="125"/>
      <c r="AG238" s="125"/>
      <c r="AH238" s="125"/>
      <c r="AI238" s="125"/>
      <c r="AJ238" s="125"/>
      <c r="AK238" s="125"/>
      <c r="AL238" s="125"/>
    </row>
    <row r="239" ht="15.75" customHeight="1">
      <c r="A239" s="125"/>
      <c r="B239" s="125"/>
      <c r="C239" s="125"/>
      <c r="D239" s="125"/>
      <c r="E239" s="186"/>
      <c r="F239" s="186"/>
      <c r="G239" s="186"/>
      <c r="H239" s="186"/>
      <c r="I239" s="186"/>
      <c r="J239" s="186"/>
      <c r="K239" s="186"/>
      <c r="L239" s="186"/>
      <c r="M239" s="186"/>
      <c r="N239" s="186"/>
      <c r="O239" s="186"/>
      <c r="P239" s="186"/>
      <c r="Q239" s="186"/>
      <c r="R239" s="186"/>
      <c r="S239" s="186"/>
      <c r="T239" s="186"/>
      <c r="U239" s="125"/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87"/>
      <c r="AF239" s="125"/>
      <c r="AG239" s="125"/>
      <c r="AH239" s="125"/>
      <c r="AI239" s="125"/>
      <c r="AJ239" s="125"/>
      <c r="AK239" s="125"/>
      <c r="AL239" s="125"/>
    </row>
    <row r="240" ht="15.75" customHeight="1">
      <c r="A240" s="125"/>
      <c r="B240" s="125"/>
      <c r="C240" s="125"/>
      <c r="D240" s="125"/>
      <c r="E240" s="186"/>
      <c r="F240" s="186"/>
      <c r="G240" s="186"/>
      <c r="H240" s="186"/>
      <c r="I240" s="186"/>
      <c r="J240" s="186"/>
      <c r="K240" s="186"/>
      <c r="L240" s="186"/>
      <c r="M240" s="186"/>
      <c r="N240" s="186"/>
      <c r="O240" s="186"/>
      <c r="P240" s="186"/>
      <c r="Q240" s="186"/>
      <c r="R240" s="186"/>
      <c r="S240" s="186"/>
      <c r="T240" s="186"/>
      <c r="U240" s="125"/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87"/>
      <c r="AF240" s="125"/>
      <c r="AG240" s="125"/>
      <c r="AH240" s="125"/>
      <c r="AI240" s="125"/>
      <c r="AJ240" s="125"/>
      <c r="AK240" s="125"/>
      <c r="AL240" s="125"/>
    </row>
    <row r="241" ht="15.75" customHeight="1">
      <c r="A241" s="125"/>
      <c r="B241" s="125"/>
      <c r="C241" s="125"/>
      <c r="D241" s="125"/>
      <c r="E241" s="186"/>
      <c r="F241" s="186"/>
      <c r="G241" s="186"/>
      <c r="H241" s="186"/>
      <c r="I241" s="186"/>
      <c r="J241" s="186"/>
      <c r="K241" s="186"/>
      <c r="L241" s="186"/>
      <c r="M241" s="186"/>
      <c r="N241" s="186"/>
      <c r="O241" s="186"/>
      <c r="P241" s="186"/>
      <c r="Q241" s="186"/>
      <c r="R241" s="186"/>
      <c r="S241" s="186"/>
      <c r="T241" s="186"/>
      <c r="U241" s="125"/>
      <c r="V241" s="125"/>
      <c r="W241" s="125"/>
      <c r="X241" s="125"/>
      <c r="Y241" s="125"/>
      <c r="Z241" s="125"/>
      <c r="AA241" s="125"/>
      <c r="AB241" s="125"/>
      <c r="AC241" s="125"/>
      <c r="AD241" s="125"/>
      <c r="AE241" s="187"/>
      <c r="AF241" s="125"/>
      <c r="AG241" s="125"/>
      <c r="AH241" s="125"/>
      <c r="AI241" s="125"/>
      <c r="AJ241" s="125"/>
      <c r="AK241" s="125"/>
      <c r="AL241" s="125"/>
    </row>
    <row r="242" ht="15.75" customHeight="1">
      <c r="A242" s="125"/>
      <c r="B242" s="125"/>
      <c r="C242" s="125"/>
      <c r="D242" s="125"/>
      <c r="E242" s="186"/>
      <c r="F242" s="186"/>
      <c r="G242" s="186"/>
      <c r="H242" s="186"/>
      <c r="I242" s="186"/>
      <c r="J242" s="186"/>
      <c r="K242" s="186"/>
      <c r="L242" s="186"/>
      <c r="M242" s="186"/>
      <c r="N242" s="186"/>
      <c r="O242" s="186"/>
      <c r="P242" s="186"/>
      <c r="Q242" s="186"/>
      <c r="R242" s="186"/>
      <c r="S242" s="186"/>
      <c r="T242" s="186"/>
      <c r="U242" s="125"/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87"/>
      <c r="AF242" s="125"/>
      <c r="AG242" s="125"/>
      <c r="AH242" s="125"/>
      <c r="AI242" s="125"/>
      <c r="AJ242" s="125"/>
      <c r="AK242" s="125"/>
      <c r="AL242" s="125"/>
    </row>
    <row r="243" ht="15.75" customHeight="1">
      <c r="A243" s="125"/>
      <c r="B243" s="125"/>
      <c r="C243" s="125"/>
      <c r="D243" s="125"/>
      <c r="E243" s="186"/>
      <c r="F243" s="186"/>
      <c r="G243" s="186"/>
      <c r="H243" s="186"/>
      <c r="I243" s="186"/>
      <c r="J243" s="186"/>
      <c r="K243" s="186"/>
      <c r="L243" s="186"/>
      <c r="M243" s="186"/>
      <c r="N243" s="186"/>
      <c r="O243" s="186"/>
      <c r="P243" s="186"/>
      <c r="Q243" s="186"/>
      <c r="R243" s="186"/>
      <c r="S243" s="186"/>
      <c r="T243" s="186"/>
      <c r="U243" s="125"/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87"/>
      <c r="AF243" s="125"/>
      <c r="AG243" s="125"/>
      <c r="AH243" s="125"/>
      <c r="AI243" s="125"/>
      <c r="AJ243" s="125"/>
      <c r="AK243" s="125"/>
      <c r="AL243" s="125"/>
    </row>
    <row r="244" ht="15.75" customHeight="1">
      <c r="A244" s="125"/>
      <c r="B244" s="125"/>
      <c r="C244" s="125"/>
      <c r="D244" s="125"/>
      <c r="E244" s="186"/>
      <c r="F244" s="186"/>
      <c r="G244" s="186"/>
      <c r="H244" s="186"/>
      <c r="I244" s="186"/>
      <c r="J244" s="186"/>
      <c r="K244" s="186"/>
      <c r="L244" s="186"/>
      <c r="M244" s="186"/>
      <c r="N244" s="186"/>
      <c r="O244" s="186"/>
      <c r="P244" s="186"/>
      <c r="Q244" s="186"/>
      <c r="R244" s="186"/>
      <c r="S244" s="186"/>
      <c r="T244" s="186"/>
      <c r="U244" s="125"/>
      <c r="V244" s="125"/>
      <c r="W244" s="125"/>
      <c r="X244" s="125"/>
      <c r="Y244" s="125"/>
      <c r="Z244" s="125"/>
      <c r="AA244" s="125"/>
      <c r="AB244" s="125"/>
      <c r="AC244" s="125"/>
      <c r="AD244" s="125"/>
      <c r="AE244" s="187"/>
      <c r="AF244" s="125"/>
      <c r="AG244" s="125"/>
      <c r="AH244" s="125"/>
      <c r="AI244" s="125"/>
      <c r="AJ244" s="125"/>
      <c r="AK244" s="125"/>
      <c r="AL244" s="125"/>
    </row>
    <row r="245" ht="15.75" customHeight="1">
      <c r="A245" s="125"/>
      <c r="B245" s="125"/>
      <c r="C245" s="125"/>
      <c r="D245" s="125"/>
      <c r="E245" s="186"/>
      <c r="F245" s="186"/>
      <c r="G245" s="186"/>
      <c r="H245" s="186"/>
      <c r="I245" s="186"/>
      <c r="J245" s="186"/>
      <c r="K245" s="186"/>
      <c r="L245" s="186"/>
      <c r="M245" s="186"/>
      <c r="N245" s="186"/>
      <c r="O245" s="186"/>
      <c r="P245" s="186"/>
      <c r="Q245" s="186"/>
      <c r="R245" s="186"/>
      <c r="S245" s="186"/>
      <c r="T245" s="186"/>
      <c r="U245" s="125"/>
      <c r="V245" s="125"/>
      <c r="W245" s="125"/>
      <c r="X245" s="125"/>
      <c r="Y245" s="125"/>
      <c r="Z245" s="125"/>
      <c r="AA245" s="125"/>
      <c r="AB245" s="125"/>
      <c r="AC245" s="125"/>
      <c r="AD245" s="125"/>
      <c r="AE245" s="187"/>
      <c r="AF245" s="125"/>
      <c r="AG245" s="125"/>
      <c r="AH245" s="125"/>
      <c r="AI245" s="125"/>
      <c r="AJ245" s="125"/>
      <c r="AK245" s="125"/>
      <c r="AL245" s="125"/>
    </row>
    <row r="246" ht="15.75" customHeight="1">
      <c r="A246" s="125"/>
      <c r="B246" s="125"/>
      <c r="C246" s="125"/>
      <c r="D246" s="125"/>
      <c r="E246" s="186"/>
      <c r="F246" s="186"/>
      <c r="G246" s="186"/>
      <c r="H246" s="186"/>
      <c r="I246" s="186"/>
      <c r="J246" s="186"/>
      <c r="K246" s="186"/>
      <c r="L246" s="186"/>
      <c r="M246" s="186"/>
      <c r="N246" s="186"/>
      <c r="O246" s="186"/>
      <c r="P246" s="186"/>
      <c r="Q246" s="186"/>
      <c r="R246" s="186"/>
      <c r="S246" s="186"/>
      <c r="T246" s="186"/>
      <c r="U246" s="125"/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87"/>
      <c r="AF246" s="125"/>
      <c r="AG246" s="125"/>
      <c r="AH246" s="125"/>
      <c r="AI246" s="125"/>
      <c r="AJ246" s="125"/>
      <c r="AK246" s="125"/>
      <c r="AL246" s="125"/>
    </row>
    <row r="247" ht="15.75" customHeight="1">
      <c r="A247" s="125"/>
      <c r="B247" s="125"/>
      <c r="C247" s="125"/>
      <c r="D247" s="125"/>
      <c r="E247" s="186"/>
      <c r="F247" s="186"/>
      <c r="G247" s="186"/>
      <c r="H247" s="186"/>
      <c r="I247" s="186"/>
      <c r="J247" s="186"/>
      <c r="K247" s="186"/>
      <c r="L247" s="186"/>
      <c r="M247" s="186"/>
      <c r="N247" s="186"/>
      <c r="O247" s="186"/>
      <c r="P247" s="186"/>
      <c r="Q247" s="186"/>
      <c r="R247" s="186"/>
      <c r="S247" s="186"/>
      <c r="T247" s="186"/>
      <c r="U247" s="125"/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87"/>
      <c r="AF247" s="125"/>
      <c r="AG247" s="125"/>
      <c r="AH247" s="125"/>
      <c r="AI247" s="125"/>
      <c r="AJ247" s="125"/>
      <c r="AK247" s="125"/>
      <c r="AL247" s="125"/>
    </row>
    <row r="248" ht="15.75" customHeight="1">
      <c r="A248" s="125"/>
      <c r="B248" s="125"/>
      <c r="C248" s="125"/>
      <c r="D248" s="125"/>
      <c r="E248" s="186"/>
      <c r="F248" s="186"/>
      <c r="G248" s="186"/>
      <c r="H248" s="186"/>
      <c r="I248" s="186"/>
      <c r="J248" s="186"/>
      <c r="K248" s="186"/>
      <c r="L248" s="186"/>
      <c r="M248" s="186"/>
      <c r="N248" s="186"/>
      <c r="O248" s="186"/>
      <c r="P248" s="186"/>
      <c r="Q248" s="186"/>
      <c r="R248" s="186"/>
      <c r="S248" s="186"/>
      <c r="T248" s="186"/>
      <c r="U248" s="125"/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87"/>
      <c r="AF248" s="125"/>
      <c r="AG248" s="125"/>
      <c r="AH248" s="125"/>
      <c r="AI248" s="125"/>
      <c r="AJ248" s="125"/>
      <c r="AK248" s="125"/>
      <c r="AL248" s="125"/>
    </row>
    <row r="249" ht="15.75" customHeight="1">
      <c r="A249" s="125"/>
      <c r="B249" s="125"/>
      <c r="C249" s="125"/>
      <c r="D249" s="125"/>
      <c r="E249" s="186"/>
      <c r="F249" s="186"/>
      <c r="G249" s="186"/>
      <c r="H249" s="186"/>
      <c r="I249" s="186"/>
      <c r="J249" s="186"/>
      <c r="K249" s="186"/>
      <c r="L249" s="186"/>
      <c r="M249" s="186"/>
      <c r="N249" s="186"/>
      <c r="O249" s="186"/>
      <c r="P249" s="186"/>
      <c r="Q249" s="186"/>
      <c r="R249" s="186"/>
      <c r="S249" s="186"/>
      <c r="T249" s="186"/>
      <c r="U249" s="125"/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87"/>
      <c r="AF249" s="125"/>
      <c r="AG249" s="125"/>
      <c r="AH249" s="125"/>
      <c r="AI249" s="125"/>
      <c r="AJ249" s="125"/>
      <c r="AK249" s="125"/>
      <c r="AL249" s="125"/>
    </row>
    <row r="250" ht="15.75" customHeight="1">
      <c r="A250" s="125"/>
      <c r="B250" s="125"/>
      <c r="C250" s="125"/>
      <c r="D250" s="125"/>
      <c r="E250" s="186"/>
      <c r="F250" s="186"/>
      <c r="G250" s="186"/>
      <c r="H250" s="186"/>
      <c r="I250" s="186"/>
      <c r="J250" s="186"/>
      <c r="K250" s="186"/>
      <c r="L250" s="186"/>
      <c r="M250" s="186"/>
      <c r="N250" s="186"/>
      <c r="O250" s="186"/>
      <c r="P250" s="186"/>
      <c r="Q250" s="186"/>
      <c r="R250" s="186"/>
      <c r="S250" s="186"/>
      <c r="T250" s="186"/>
      <c r="U250" s="125"/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87"/>
      <c r="AF250" s="125"/>
      <c r="AG250" s="125"/>
      <c r="AH250" s="125"/>
      <c r="AI250" s="125"/>
      <c r="AJ250" s="125"/>
      <c r="AK250" s="125"/>
      <c r="AL250" s="125"/>
    </row>
    <row r="251" ht="15.75" customHeight="1">
      <c r="A251" s="125"/>
      <c r="B251" s="125"/>
      <c r="C251" s="125"/>
      <c r="D251" s="125"/>
      <c r="E251" s="186"/>
      <c r="F251" s="186"/>
      <c r="G251" s="186"/>
      <c r="H251" s="186"/>
      <c r="I251" s="186"/>
      <c r="J251" s="186"/>
      <c r="K251" s="186"/>
      <c r="L251" s="186"/>
      <c r="M251" s="186"/>
      <c r="N251" s="186"/>
      <c r="O251" s="186"/>
      <c r="P251" s="186"/>
      <c r="Q251" s="186"/>
      <c r="R251" s="186"/>
      <c r="S251" s="186"/>
      <c r="T251" s="186"/>
      <c r="U251" s="125"/>
      <c r="V251" s="125"/>
      <c r="W251" s="125"/>
      <c r="X251" s="125"/>
      <c r="Y251" s="125"/>
      <c r="Z251" s="125"/>
      <c r="AA251" s="125"/>
      <c r="AB251" s="125"/>
      <c r="AC251" s="125"/>
      <c r="AD251" s="125"/>
      <c r="AE251" s="187"/>
      <c r="AF251" s="125"/>
      <c r="AG251" s="125"/>
      <c r="AH251" s="125"/>
      <c r="AI251" s="125"/>
      <c r="AJ251" s="125"/>
      <c r="AK251" s="125"/>
      <c r="AL251" s="125"/>
    </row>
    <row r="252" ht="15.75" customHeight="1">
      <c r="A252" s="125"/>
      <c r="B252" s="125"/>
      <c r="C252" s="125"/>
      <c r="D252" s="125"/>
      <c r="E252" s="186"/>
      <c r="F252" s="186"/>
      <c r="G252" s="186"/>
      <c r="H252" s="186"/>
      <c r="I252" s="186"/>
      <c r="J252" s="186"/>
      <c r="K252" s="186"/>
      <c r="L252" s="186"/>
      <c r="M252" s="186"/>
      <c r="N252" s="186"/>
      <c r="O252" s="186"/>
      <c r="P252" s="186"/>
      <c r="Q252" s="186"/>
      <c r="R252" s="186"/>
      <c r="S252" s="186"/>
      <c r="T252" s="186"/>
      <c r="U252" s="125"/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87"/>
      <c r="AF252" s="125"/>
      <c r="AG252" s="125"/>
      <c r="AH252" s="125"/>
      <c r="AI252" s="125"/>
      <c r="AJ252" s="125"/>
      <c r="AK252" s="125"/>
      <c r="AL252" s="125"/>
    </row>
    <row r="253" ht="15.75" customHeight="1">
      <c r="A253" s="125"/>
      <c r="B253" s="125"/>
      <c r="C253" s="125"/>
      <c r="D253" s="125"/>
      <c r="E253" s="186"/>
      <c r="F253" s="186"/>
      <c r="G253" s="186"/>
      <c r="H253" s="186"/>
      <c r="I253" s="186"/>
      <c r="J253" s="186"/>
      <c r="K253" s="186"/>
      <c r="L253" s="186"/>
      <c r="M253" s="186"/>
      <c r="N253" s="186"/>
      <c r="O253" s="186"/>
      <c r="P253" s="186"/>
      <c r="Q253" s="186"/>
      <c r="R253" s="186"/>
      <c r="S253" s="186"/>
      <c r="T253" s="186"/>
      <c r="U253" s="125"/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87"/>
      <c r="AF253" s="125"/>
      <c r="AG253" s="125"/>
      <c r="AH253" s="125"/>
      <c r="AI253" s="125"/>
      <c r="AJ253" s="125"/>
      <c r="AK253" s="125"/>
      <c r="AL253" s="125"/>
    </row>
    <row r="254" ht="15.75" customHeight="1">
      <c r="A254" s="125"/>
      <c r="B254" s="125"/>
      <c r="C254" s="125"/>
      <c r="D254" s="125"/>
      <c r="E254" s="186"/>
      <c r="F254" s="186"/>
      <c r="G254" s="186"/>
      <c r="H254" s="186"/>
      <c r="I254" s="186"/>
      <c r="J254" s="186"/>
      <c r="K254" s="186"/>
      <c r="L254" s="186"/>
      <c r="M254" s="186"/>
      <c r="N254" s="186"/>
      <c r="O254" s="186"/>
      <c r="P254" s="186"/>
      <c r="Q254" s="186"/>
      <c r="R254" s="186"/>
      <c r="S254" s="186"/>
      <c r="T254" s="186"/>
      <c r="U254" s="125"/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87"/>
      <c r="AF254" s="125"/>
      <c r="AG254" s="125"/>
      <c r="AH254" s="125"/>
      <c r="AI254" s="125"/>
      <c r="AJ254" s="125"/>
      <c r="AK254" s="125"/>
      <c r="AL254" s="125"/>
    </row>
    <row r="255" ht="15.75" customHeight="1">
      <c r="A255" s="125"/>
      <c r="B255" s="125"/>
      <c r="C255" s="125"/>
      <c r="D255" s="125"/>
      <c r="E255" s="186"/>
      <c r="F255" s="186"/>
      <c r="G255" s="186"/>
      <c r="H255" s="186"/>
      <c r="I255" s="186"/>
      <c r="J255" s="186"/>
      <c r="K255" s="186"/>
      <c r="L255" s="186"/>
      <c r="M255" s="186"/>
      <c r="N255" s="186"/>
      <c r="O255" s="186"/>
      <c r="P255" s="186"/>
      <c r="Q255" s="186"/>
      <c r="R255" s="186"/>
      <c r="S255" s="186"/>
      <c r="T255" s="186"/>
      <c r="U255" s="125"/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87"/>
      <c r="AF255" s="125"/>
      <c r="AG255" s="125"/>
      <c r="AH255" s="125"/>
      <c r="AI255" s="125"/>
      <c r="AJ255" s="125"/>
      <c r="AK255" s="125"/>
      <c r="AL255" s="125"/>
    </row>
    <row r="256" ht="15.75" customHeight="1">
      <c r="A256" s="125"/>
      <c r="B256" s="125"/>
      <c r="C256" s="125"/>
      <c r="D256" s="125"/>
      <c r="E256" s="186"/>
      <c r="F256" s="186"/>
      <c r="G256" s="186"/>
      <c r="H256" s="186"/>
      <c r="I256" s="186"/>
      <c r="J256" s="186"/>
      <c r="K256" s="186"/>
      <c r="L256" s="186"/>
      <c r="M256" s="186"/>
      <c r="N256" s="186"/>
      <c r="O256" s="186"/>
      <c r="P256" s="186"/>
      <c r="Q256" s="186"/>
      <c r="R256" s="186"/>
      <c r="S256" s="186"/>
      <c r="T256" s="186"/>
      <c r="U256" s="125"/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87"/>
      <c r="AF256" s="125"/>
      <c r="AG256" s="125"/>
      <c r="AH256" s="125"/>
      <c r="AI256" s="125"/>
      <c r="AJ256" s="125"/>
      <c r="AK256" s="125"/>
      <c r="AL256" s="125"/>
    </row>
    <row r="257" ht="15.75" customHeight="1">
      <c r="A257" s="125"/>
      <c r="B257" s="125"/>
      <c r="C257" s="125"/>
      <c r="D257" s="125"/>
      <c r="E257" s="186"/>
      <c r="F257" s="186"/>
      <c r="G257" s="186"/>
      <c r="H257" s="186"/>
      <c r="I257" s="186"/>
      <c r="J257" s="186"/>
      <c r="K257" s="186"/>
      <c r="L257" s="186"/>
      <c r="M257" s="186"/>
      <c r="N257" s="186"/>
      <c r="O257" s="186"/>
      <c r="P257" s="186"/>
      <c r="Q257" s="186"/>
      <c r="R257" s="186"/>
      <c r="S257" s="186"/>
      <c r="T257" s="186"/>
      <c r="U257" s="125"/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87"/>
      <c r="AF257" s="125"/>
      <c r="AG257" s="125"/>
      <c r="AH257" s="125"/>
      <c r="AI257" s="125"/>
      <c r="AJ257" s="125"/>
      <c r="AK257" s="125"/>
      <c r="AL257" s="125"/>
    </row>
    <row r="258" ht="15.75" customHeight="1">
      <c r="A258" s="125"/>
      <c r="B258" s="125"/>
      <c r="C258" s="125"/>
      <c r="D258" s="125"/>
      <c r="E258" s="186"/>
      <c r="F258" s="186"/>
      <c r="G258" s="186"/>
      <c r="H258" s="186"/>
      <c r="I258" s="186"/>
      <c r="J258" s="186"/>
      <c r="K258" s="186"/>
      <c r="L258" s="186"/>
      <c r="M258" s="186"/>
      <c r="N258" s="186"/>
      <c r="O258" s="186"/>
      <c r="P258" s="186"/>
      <c r="Q258" s="186"/>
      <c r="R258" s="186"/>
      <c r="S258" s="186"/>
      <c r="T258" s="186"/>
      <c r="U258" s="125"/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87"/>
      <c r="AF258" s="125"/>
      <c r="AG258" s="125"/>
      <c r="AH258" s="125"/>
      <c r="AI258" s="125"/>
      <c r="AJ258" s="125"/>
      <c r="AK258" s="125"/>
      <c r="AL258" s="125"/>
    </row>
    <row r="259" ht="15.75" customHeight="1">
      <c r="A259" s="125"/>
      <c r="B259" s="125"/>
      <c r="C259" s="125"/>
      <c r="D259" s="125"/>
      <c r="E259" s="186"/>
      <c r="F259" s="186"/>
      <c r="G259" s="186"/>
      <c r="H259" s="186"/>
      <c r="I259" s="186"/>
      <c r="J259" s="186"/>
      <c r="K259" s="186"/>
      <c r="L259" s="186"/>
      <c r="M259" s="186"/>
      <c r="N259" s="186"/>
      <c r="O259" s="186"/>
      <c r="P259" s="186"/>
      <c r="Q259" s="186"/>
      <c r="R259" s="186"/>
      <c r="S259" s="186"/>
      <c r="T259" s="186"/>
      <c r="U259" s="125"/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87"/>
      <c r="AF259" s="125"/>
      <c r="AG259" s="125"/>
      <c r="AH259" s="125"/>
      <c r="AI259" s="125"/>
      <c r="AJ259" s="125"/>
      <c r="AK259" s="125"/>
      <c r="AL259" s="125"/>
    </row>
    <row r="260" ht="15.75" customHeight="1">
      <c r="A260" s="125"/>
      <c r="B260" s="125"/>
      <c r="C260" s="125"/>
      <c r="D260" s="125"/>
      <c r="E260" s="186"/>
      <c r="F260" s="186"/>
      <c r="G260" s="186"/>
      <c r="H260" s="186"/>
      <c r="I260" s="186"/>
      <c r="J260" s="186"/>
      <c r="K260" s="186"/>
      <c r="L260" s="186"/>
      <c r="M260" s="186"/>
      <c r="N260" s="186"/>
      <c r="O260" s="186"/>
      <c r="P260" s="186"/>
      <c r="Q260" s="186"/>
      <c r="R260" s="186"/>
      <c r="S260" s="186"/>
      <c r="T260" s="186"/>
      <c r="U260" s="125"/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87"/>
      <c r="AF260" s="125"/>
      <c r="AG260" s="125"/>
      <c r="AH260" s="125"/>
      <c r="AI260" s="125"/>
      <c r="AJ260" s="125"/>
      <c r="AK260" s="125"/>
      <c r="AL260" s="125"/>
    </row>
    <row r="261" ht="15.75" customHeight="1">
      <c r="A261" s="125"/>
      <c r="B261" s="125"/>
      <c r="C261" s="125"/>
      <c r="D261" s="125"/>
      <c r="E261" s="186"/>
      <c r="F261" s="186"/>
      <c r="G261" s="186"/>
      <c r="H261" s="186"/>
      <c r="I261" s="186"/>
      <c r="J261" s="186"/>
      <c r="K261" s="186"/>
      <c r="L261" s="186"/>
      <c r="M261" s="186"/>
      <c r="N261" s="186"/>
      <c r="O261" s="186"/>
      <c r="P261" s="186"/>
      <c r="Q261" s="186"/>
      <c r="R261" s="186"/>
      <c r="S261" s="186"/>
      <c r="T261" s="186"/>
      <c r="U261" s="125"/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87"/>
      <c r="AF261" s="125"/>
      <c r="AG261" s="125"/>
      <c r="AH261" s="125"/>
      <c r="AI261" s="125"/>
      <c r="AJ261" s="125"/>
      <c r="AK261" s="125"/>
      <c r="AL261" s="125"/>
    </row>
    <row r="262" ht="15.75" customHeight="1">
      <c r="A262" s="125"/>
      <c r="B262" s="125"/>
      <c r="C262" s="125"/>
      <c r="D262" s="125"/>
      <c r="E262" s="186"/>
      <c r="F262" s="186"/>
      <c r="G262" s="186"/>
      <c r="H262" s="186"/>
      <c r="I262" s="186"/>
      <c r="J262" s="186"/>
      <c r="K262" s="186"/>
      <c r="L262" s="186"/>
      <c r="M262" s="186"/>
      <c r="N262" s="186"/>
      <c r="O262" s="186"/>
      <c r="P262" s="186"/>
      <c r="Q262" s="186"/>
      <c r="R262" s="186"/>
      <c r="S262" s="186"/>
      <c r="T262" s="186"/>
      <c r="U262" s="125"/>
      <c r="V262" s="125"/>
      <c r="W262" s="125"/>
      <c r="X262" s="125"/>
      <c r="Y262" s="125"/>
      <c r="Z262" s="125"/>
      <c r="AA262" s="125"/>
      <c r="AB262" s="125"/>
      <c r="AC262" s="125"/>
      <c r="AD262" s="125"/>
      <c r="AE262" s="187"/>
      <c r="AF262" s="125"/>
      <c r="AG262" s="125"/>
      <c r="AH262" s="125"/>
      <c r="AI262" s="125"/>
      <c r="AJ262" s="125"/>
      <c r="AK262" s="125"/>
      <c r="AL262" s="125"/>
    </row>
    <row r="263" ht="15.75" customHeight="1">
      <c r="A263" s="125"/>
      <c r="B263" s="125"/>
      <c r="C263" s="125"/>
      <c r="D263" s="125"/>
      <c r="E263" s="186"/>
      <c r="F263" s="186"/>
      <c r="G263" s="186"/>
      <c r="H263" s="186"/>
      <c r="I263" s="186"/>
      <c r="J263" s="186"/>
      <c r="K263" s="186"/>
      <c r="L263" s="186"/>
      <c r="M263" s="186"/>
      <c r="N263" s="186"/>
      <c r="O263" s="186"/>
      <c r="P263" s="186"/>
      <c r="Q263" s="186"/>
      <c r="R263" s="186"/>
      <c r="S263" s="186"/>
      <c r="T263" s="186"/>
      <c r="U263" s="125"/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87"/>
      <c r="AF263" s="125"/>
      <c r="AG263" s="125"/>
      <c r="AH263" s="125"/>
      <c r="AI263" s="125"/>
      <c r="AJ263" s="125"/>
      <c r="AK263" s="125"/>
      <c r="AL263" s="125"/>
    </row>
    <row r="264" ht="15.75" customHeight="1">
      <c r="A264" s="125"/>
      <c r="B264" s="125"/>
      <c r="C264" s="125"/>
      <c r="D264" s="125"/>
      <c r="E264" s="186"/>
      <c r="F264" s="186"/>
      <c r="G264" s="186"/>
      <c r="H264" s="186"/>
      <c r="I264" s="186"/>
      <c r="J264" s="186"/>
      <c r="K264" s="186"/>
      <c r="L264" s="186"/>
      <c r="M264" s="186"/>
      <c r="N264" s="186"/>
      <c r="O264" s="186"/>
      <c r="P264" s="186"/>
      <c r="Q264" s="186"/>
      <c r="R264" s="186"/>
      <c r="S264" s="186"/>
      <c r="T264" s="186"/>
      <c r="U264" s="125"/>
      <c r="V264" s="125"/>
      <c r="W264" s="125"/>
      <c r="X264" s="125"/>
      <c r="Y264" s="125"/>
      <c r="Z264" s="125"/>
      <c r="AA264" s="125"/>
      <c r="AB264" s="125"/>
      <c r="AC264" s="125"/>
      <c r="AD264" s="125"/>
      <c r="AE264" s="187"/>
      <c r="AF264" s="125"/>
      <c r="AG264" s="125"/>
      <c r="AH264" s="125"/>
      <c r="AI264" s="125"/>
      <c r="AJ264" s="125"/>
      <c r="AK264" s="125"/>
      <c r="AL264" s="125"/>
    </row>
    <row r="265" ht="15.75" customHeight="1">
      <c r="A265" s="125"/>
      <c r="B265" s="125"/>
      <c r="C265" s="125"/>
      <c r="D265" s="125"/>
      <c r="E265" s="186"/>
      <c r="F265" s="186"/>
      <c r="G265" s="186"/>
      <c r="H265" s="186"/>
      <c r="I265" s="186"/>
      <c r="J265" s="186"/>
      <c r="K265" s="186"/>
      <c r="L265" s="186"/>
      <c r="M265" s="186"/>
      <c r="N265" s="186"/>
      <c r="O265" s="186"/>
      <c r="P265" s="186"/>
      <c r="Q265" s="186"/>
      <c r="R265" s="186"/>
      <c r="S265" s="186"/>
      <c r="T265" s="186"/>
      <c r="U265" s="125"/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87"/>
      <c r="AF265" s="125"/>
      <c r="AG265" s="125"/>
      <c r="AH265" s="125"/>
      <c r="AI265" s="125"/>
      <c r="AJ265" s="125"/>
      <c r="AK265" s="125"/>
      <c r="AL265" s="125"/>
    </row>
    <row r="266" ht="15.75" customHeight="1">
      <c r="A266" s="125"/>
      <c r="B266" s="125"/>
      <c r="C266" s="125"/>
      <c r="D266" s="125"/>
      <c r="E266" s="186"/>
      <c r="F266" s="186"/>
      <c r="G266" s="186"/>
      <c r="H266" s="186"/>
      <c r="I266" s="186"/>
      <c r="J266" s="186"/>
      <c r="K266" s="186"/>
      <c r="L266" s="186"/>
      <c r="M266" s="186"/>
      <c r="N266" s="186"/>
      <c r="O266" s="186"/>
      <c r="P266" s="186"/>
      <c r="Q266" s="186"/>
      <c r="R266" s="186"/>
      <c r="S266" s="186"/>
      <c r="T266" s="186"/>
      <c r="U266" s="125"/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87"/>
      <c r="AF266" s="125"/>
      <c r="AG266" s="125"/>
      <c r="AH266" s="125"/>
      <c r="AI266" s="125"/>
      <c r="AJ266" s="125"/>
      <c r="AK266" s="125"/>
      <c r="AL266" s="125"/>
    </row>
    <row r="267" ht="15.75" customHeight="1">
      <c r="A267" s="125"/>
      <c r="B267" s="125"/>
      <c r="C267" s="125"/>
      <c r="D267" s="125"/>
      <c r="E267" s="186"/>
      <c r="F267" s="186"/>
      <c r="G267" s="186"/>
      <c r="H267" s="186"/>
      <c r="I267" s="186"/>
      <c r="J267" s="186"/>
      <c r="K267" s="186"/>
      <c r="L267" s="186"/>
      <c r="M267" s="186"/>
      <c r="N267" s="186"/>
      <c r="O267" s="186"/>
      <c r="P267" s="186"/>
      <c r="Q267" s="186"/>
      <c r="R267" s="186"/>
      <c r="S267" s="186"/>
      <c r="T267" s="186"/>
      <c r="U267" s="125"/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87"/>
      <c r="AF267" s="125"/>
      <c r="AG267" s="125"/>
      <c r="AH267" s="125"/>
      <c r="AI267" s="125"/>
      <c r="AJ267" s="125"/>
      <c r="AK267" s="125"/>
      <c r="AL267" s="125"/>
    </row>
    <row r="268" ht="15.75" customHeight="1">
      <c r="A268" s="125"/>
      <c r="B268" s="125"/>
      <c r="C268" s="125"/>
      <c r="D268" s="125"/>
      <c r="E268" s="186"/>
      <c r="F268" s="186"/>
      <c r="G268" s="186"/>
      <c r="H268" s="186"/>
      <c r="I268" s="186"/>
      <c r="J268" s="186"/>
      <c r="K268" s="186"/>
      <c r="L268" s="186"/>
      <c r="M268" s="186"/>
      <c r="N268" s="186"/>
      <c r="O268" s="186"/>
      <c r="P268" s="186"/>
      <c r="Q268" s="186"/>
      <c r="R268" s="186"/>
      <c r="S268" s="186"/>
      <c r="T268" s="186"/>
      <c r="U268" s="125"/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87"/>
      <c r="AF268" s="125"/>
      <c r="AG268" s="125"/>
      <c r="AH268" s="125"/>
      <c r="AI268" s="125"/>
      <c r="AJ268" s="125"/>
      <c r="AK268" s="125"/>
      <c r="AL268" s="125"/>
    </row>
    <row r="269" ht="15.75" customHeight="1">
      <c r="A269" s="125"/>
      <c r="B269" s="125"/>
      <c r="C269" s="125"/>
      <c r="D269" s="125"/>
      <c r="E269" s="186"/>
      <c r="F269" s="186"/>
      <c r="G269" s="186"/>
      <c r="H269" s="186"/>
      <c r="I269" s="186"/>
      <c r="J269" s="186"/>
      <c r="K269" s="186"/>
      <c r="L269" s="186"/>
      <c r="M269" s="186"/>
      <c r="N269" s="186"/>
      <c r="O269" s="186"/>
      <c r="P269" s="186"/>
      <c r="Q269" s="186"/>
      <c r="R269" s="186"/>
      <c r="S269" s="186"/>
      <c r="T269" s="186"/>
      <c r="U269" s="125"/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87"/>
      <c r="AF269" s="125"/>
      <c r="AG269" s="125"/>
      <c r="AH269" s="125"/>
      <c r="AI269" s="125"/>
      <c r="AJ269" s="125"/>
      <c r="AK269" s="125"/>
      <c r="AL269" s="125"/>
    </row>
    <row r="270" ht="15.75" customHeight="1">
      <c r="A270" s="125"/>
      <c r="B270" s="125"/>
      <c r="C270" s="125"/>
      <c r="D270" s="125"/>
      <c r="E270" s="186"/>
      <c r="F270" s="186"/>
      <c r="G270" s="186"/>
      <c r="H270" s="186"/>
      <c r="I270" s="186"/>
      <c r="J270" s="186"/>
      <c r="K270" s="186"/>
      <c r="L270" s="186"/>
      <c r="M270" s="186"/>
      <c r="N270" s="186"/>
      <c r="O270" s="186"/>
      <c r="P270" s="186"/>
      <c r="Q270" s="186"/>
      <c r="R270" s="186"/>
      <c r="S270" s="186"/>
      <c r="T270" s="186"/>
      <c r="U270" s="125"/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87"/>
      <c r="AF270" s="125"/>
      <c r="AG270" s="125"/>
      <c r="AH270" s="125"/>
      <c r="AI270" s="125"/>
      <c r="AJ270" s="125"/>
      <c r="AK270" s="125"/>
      <c r="AL270" s="125"/>
    </row>
    <row r="271" ht="15.75" customHeight="1">
      <c r="A271" s="125"/>
      <c r="B271" s="125"/>
      <c r="C271" s="125"/>
      <c r="D271" s="125"/>
      <c r="E271" s="186"/>
      <c r="F271" s="186"/>
      <c r="G271" s="186"/>
      <c r="H271" s="186"/>
      <c r="I271" s="186"/>
      <c r="J271" s="186"/>
      <c r="K271" s="186"/>
      <c r="L271" s="186"/>
      <c r="M271" s="186"/>
      <c r="N271" s="186"/>
      <c r="O271" s="186"/>
      <c r="P271" s="186"/>
      <c r="Q271" s="186"/>
      <c r="R271" s="186"/>
      <c r="S271" s="186"/>
      <c r="T271" s="186"/>
      <c r="U271" s="125"/>
      <c r="V271" s="125"/>
      <c r="W271" s="125"/>
      <c r="X271" s="125"/>
      <c r="Y271" s="125"/>
      <c r="Z271" s="125"/>
      <c r="AA271" s="125"/>
      <c r="AB271" s="125"/>
      <c r="AC271" s="125"/>
      <c r="AD271" s="125"/>
      <c r="AE271" s="187"/>
      <c r="AF271" s="125"/>
      <c r="AG271" s="125"/>
      <c r="AH271" s="125"/>
      <c r="AI271" s="125"/>
      <c r="AJ271" s="125"/>
      <c r="AK271" s="125"/>
      <c r="AL271" s="125"/>
    </row>
    <row r="272" ht="15.75" customHeight="1">
      <c r="A272" s="125"/>
      <c r="B272" s="125"/>
      <c r="C272" s="125"/>
      <c r="D272" s="125"/>
      <c r="E272" s="186"/>
      <c r="F272" s="186"/>
      <c r="G272" s="186"/>
      <c r="H272" s="186"/>
      <c r="I272" s="186"/>
      <c r="J272" s="186"/>
      <c r="K272" s="186"/>
      <c r="L272" s="186"/>
      <c r="M272" s="186"/>
      <c r="N272" s="186"/>
      <c r="O272" s="186"/>
      <c r="P272" s="186"/>
      <c r="Q272" s="186"/>
      <c r="R272" s="186"/>
      <c r="S272" s="186"/>
      <c r="T272" s="186"/>
      <c r="U272" s="125"/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87"/>
      <c r="AF272" s="125"/>
      <c r="AG272" s="125"/>
      <c r="AH272" s="125"/>
      <c r="AI272" s="125"/>
      <c r="AJ272" s="125"/>
      <c r="AK272" s="125"/>
      <c r="AL272" s="125"/>
    </row>
    <row r="273" ht="15.75" customHeight="1">
      <c r="A273" s="125"/>
      <c r="B273" s="125"/>
      <c r="C273" s="125"/>
      <c r="D273" s="125"/>
      <c r="E273" s="186"/>
      <c r="F273" s="186"/>
      <c r="G273" s="186"/>
      <c r="H273" s="186"/>
      <c r="I273" s="186"/>
      <c r="J273" s="186"/>
      <c r="K273" s="186"/>
      <c r="L273" s="186"/>
      <c r="M273" s="186"/>
      <c r="N273" s="186"/>
      <c r="O273" s="186"/>
      <c r="P273" s="186"/>
      <c r="Q273" s="186"/>
      <c r="R273" s="186"/>
      <c r="S273" s="186"/>
      <c r="T273" s="186"/>
      <c r="U273" s="125"/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87"/>
      <c r="AF273" s="125"/>
      <c r="AG273" s="125"/>
      <c r="AH273" s="125"/>
      <c r="AI273" s="125"/>
      <c r="AJ273" s="125"/>
      <c r="AK273" s="125"/>
      <c r="AL273" s="125"/>
    </row>
    <row r="274" ht="15.75" customHeight="1">
      <c r="A274" s="125"/>
      <c r="B274" s="125"/>
      <c r="C274" s="125"/>
      <c r="D274" s="125"/>
      <c r="E274" s="186"/>
      <c r="F274" s="186"/>
      <c r="G274" s="186"/>
      <c r="H274" s="186"/>
      <c r="I274" s="186"/>
      <c r="J274" s="186"/>
      <c r="K274" s="186"/>
      <c r="L274" s="186"/>
      <c r="M274" s="186"/>
      <c r="N274" s="186"/>
      <c r="O274" s="186"/>
      <c r="P274" s="186"/>
      <c r="Q274" s="186"/>
      <c r="R274" s="186"/>
      <c r="S274" s="186"/>
      <c r="T274" s="186"/>
      <c r="U274" s="125"/>
      <c r="V274" s="125"/>
      <c r="W274" s="125"/>
      <c r="X274" s="125"/>
      <c r="Y274" s="125"/>
      <c r="Z274" s="125"/>
      <c r="AA274" s="125"/>
      <c r="AB274" s="125"/>
      <c r="AC274" s="125"/>
      <c r="AD274" s="125"/>
      <c r="AE274" s="187"/>
      <c r="AF274" s="125"/>
      <c r="AG274" s="125"/>
      <c r="AH274" s="125"/>
      <c r="AI274" s="125"/>
      <c r="AJ274" s="125"/>
      <c r="AK274" s="125"/>
      <c r="AL274" s="125"/>
    </row>
    <row r="275" ht="15.75" customHeight="1">
      <c r="A275" s="125"/>
      <c r="B275" s="125"/>
      <c r="C275" s="125"/>
      <c r="D275" s="125"/>
      <c r="E275" s="186"/>
      <c r="F275" s="186"/>
      <c r="G275" s="186"/>
      <c r="H275" s="186"/>
      <c r="I275" s="186"/>
      <c r="J275" s="186"/>
      <c r="K275" s="186"/>
      <c r="L275" s="186"/>
      <c r="M275" s="186"/>
      <c r="N275" s="186"/>
      <c r="O275" s="186"/>
      <c r="P275" s="186"/>
      <c r="Q275" s="186"/>
      <c r="R275" s="186"/>
      <c r="S275" s="186"/>
      <c r="T275" s="186"/>
      <c r="U275" s="125"/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87"/>
      <c r="AF275" s="125"/>
      <c r="AG275" s="125"/>
      <c r="AH275" s="125"/>
      <c r="AI275" s="125"/>
      <c r="AJ275" s="125"/>
      <c r="AK275" s="125"/>
      <c r="AL275" s="125"/>
    </row>
    <row r="276" ht="15.75" customHeight="1">
      <c r="A276" s="125"/>
      <c r="B276" s="125"/>
      <c r="C276" s="125"/>
      <c r="D276" s="125"/>
      <c r="E276" s="186"/>
      <c r="F276" s="186"/>
      <c r="G276" s="186"/>
      <c r="H276" s="186"/>
      <c r="I276" s="186"/>
      <c r="J276" s="186"/>
      <c r="K276" s="186"/>
      <c r="L276" s="186"/>
      <c r="M276" s="186"/>
      <c r="N276" s="186"/>
      <c r="O276" s="186"/>
      <c r="P276" s="186"/>
      <c r="Q276" s="186"/>
      <c r="R276" s="186"/>
      <c r="S276" s="186"/>
      <c r="T276" s="186"/>
      <c r="U276" s="125"/>
      <c r="V276" s="125"/>
      <c r="W276" s="125"/>
      <c r="X276" s="125"/>
      <c r="Y276" s="125"/>
      <c r="Z276" s="125"/>
      <c r="AA276" s="125"/>
      <c r="AB276" s="125"/>
      <c r="AC276" s="125"/>
      <c r="AD276" s="125"/>
      <c r="AE276" s="187"/>
      <c r="AF276" s="125"/>
      <c r="AG276" s="125"/>
      <c r="AH276" s="125"/>
      <c r="AI276" s="125"/>
      <c r="AJ276" s="125"/>
      <c r="AK276" s="125"/>
      <c r="AL276" s="125"/>
    </row>
    <row r="277" ht="15.75" customHeight="1">
      <c r="A277" s="125"/>
      <c r="B277" s="125"/>
      <c r="C277" s="125"/>
      <c r="D277" s="125"/>
      <c r="E277" s="186"/>
      <c r="F277" s="186"/>
      <c r="G277" s="186"/>
      <c r="H277" s="186"/>
      <c r="I277" s="186"/>
      <c r="J277" s="186"/>
      <c r="K277" s="186"/>
      <c r="L277" s="186"/>
      <c r="M277" s="186"/>
      <c r="N277" s="186"/>
      <c r="O277" s="186"/>
      <c r="P277" s="186"/>
      <c r="Q277" s="186"/>
      <c r="R277" s="186"/>
      <c r="S277" s="186"/>
      <c r="T277" s="186"/>
      <c r="U277" s="125"/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87"/>
      <c r="AF277" s="125"/>
      <c r="AG277" s="125"/>
      <c r="AH277" s="125"/>
      <c r="AI277" s="125"/>
      <c r="AJ277" s="125"/>
      <c r="AK277" s="125"/>
      <c r="AL277" s="125"/>
    </row>
    <row r="278" ht="15.75" customHeight="1">
      <c r="A278" s="125"/>
      <c r="B278" s="125"/>
      <c r="C278" s="125"/>
      <c r="D278" s="125"/>
      <c r="E278" s="186"/>
      <c r="F278" s="186"/>
      <c r="G278" s="186"/>
      <c r="H278" s="186"/>
      <c r="I278" s="186"/>
      <c r="J278" s="186"/>
      <c r="K278" s="186"/>
      <c r="L278" s="186"/>
      <c r="M278" s="186"/>
      <c r="N278" s="186"/>
      <c r="O278" s="186"/>
      <c r="P278" s="186"/>
      <c r="Q278" s="186"/>
      <c r="R278" s="186"/>
      <c r="S278" s="186"/>
      <c r="T278" s="186"/>
      <c r="U278" s="125"/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87"/>
      <c r="AF278" s="125"/>
      <c r="AG278" s="125"/>
      <c r="AH278" s="125"/>
      <c r="AI278" s="125"/>
      <c r="AJ278" s="125"/>
      <c r="AK278" s="125"/>
      <c r="AL278" s="125"/>
    </row>
    <row r="279" ht="15.75" customHeight="1">
      <c r="A279" s="125"/>
      <c r="B279" s="125"/>
      <c r="C279" s="125"/>
      <c r="D279" s="125"/>
      <c r="E279" s="186"/>
      <c r="F279" s="186"/>
      <c r="G279" s="186"/>
      <c r="H279" s="186"/>
      <c r="I279" s="186"/>
      <c r="J279" s="186"/>
      <c r="K279" s="186"/>
      <c r="L279" s="186"/>
      <c r="M279" s="186"/>
      <c r="N279" s="186"/>
      <c r="O279" s="186"/>
      <c r="P279" s="186"/>
      <c r="Q279" s="186"/>
      <c r="R279" s="186"/>
      <c r="S279" s="186"/>
      <c r="T279" s="186"/>
      <c r="U279" s="125"/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87"/>
      <c r="AF279" s="125"/>
      <c r="AG279" s="125"/>
      <c r="AH279" s="125"/>
      <c r="AI279" s="125"/>
      <c r="AJ279" s="125"/>
      <c r="AK279" s="125"/>
      <c r="AL279" s="125"/>
    </row>
    <row r="280" ht="15.75" customHeight="1">
      <c r="A280" s="125"/>
      <c r="B280" s="125"/>
      <c r="C280" s="125"/>
      <c r="D280" s="125"/>
      <c r="E280" s="186"/>
      <c r="F280" s="186"/>
      <c r="G280" s="186"/>
      <c r="H280" s="186"/>
      <c r="I280" s="186"/>
      <c r="J280" s="186"/>
      <c r="K280" s="186"/>
      <c r="L280" s="186"/>
      <c r="M280" s="186"/>
      <c r="N280" s="186"/>
      <c r="O280" s="186"/>
      <c r="P280" s="186"/>
      <c r="Q280" s="186"/>
      <c r="R280" s="186"/>
      <c r="S280" s="186"/>
      <c r="T280" s="186"/>
      <c r="U280" s="125"/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87"/>
      <c r="AF280" s="125"/>
      <c r="AG280" s="125"/>
      <c r="AH280" s="125"/>
      <c r="AI280" s="125"/>
      <c r="AJ280" s="125"/>
      <c r="AK280" s="125"/>
      <c r="AL280" s="125"/>
    </row>
    <row r="281" ht="15.75" customHeight="1">
      <c r="A281" s="125"/>
      <c r="B281" s="125"/>
      <c r="C281" s="125"/>
      <c r="D281" s="125"/>
      <c r="E281" s="186"/>
      <c r="F281" s="186"/>
      <c r="G281" s="186"/>
      <c r="H281" s="186"/>
      <c r="I281" s="186"/>
      <c r="J281" s="186"/>
      <c r="K281" s="186"/>
      <c r="L281" s="186"/>
      <c r="M281" s="186"/>
      <c r="N281" s="186"/>
      <c r="O281" s="186"/>
      <c r="P281" s="186"/>
      <c r="Q281" s="186"/>
      <c r="R281" s="186"/>
      <c r="S281" s="186"/>
      <c r="T281" s="186"/>
      <c r="U281" s="125"/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87"/>
      <c r="AF281" s="125"/>
      <c r="AG281" s="125"/>
      <c r="AH281" s="125"/>
      <c r="AI281" s="125"/>
      <c r="AJ281" s="125"/>
      <c r="AK281" s="125"/>
      <c r="AL281" s="125"/>
    </row>
    <row r="282" ht="15.75" customHeight="1">
      <c r="A282" s="125"/>
      <c r="B282" s="125"/>
      <c r="C282" s="125"/>
      <c r="D282" s="125"/>
      <c r="E282" s="186"/>
      <c r="F282" s="186"/>
      <c r="G282" s="186"/>
      <c r="H282" s="186"/>
      <c r="I282" s="186"/>
      <c r="J282" s="186"/>
      <c r="K282" s="186"/>
      <c r="L282" s="186"/>
      <c r="M282" s="186"/>
      <c r="N282" s="186"/>
      <c r="O282" s="186"/>
      <c r="P282" s="186"/>
      <c r="Q282" s="186"/>
      <c r="R282" s="186"/>
      <c r="S282" s="186"/>
      <c r="T282" s="186"/>
      <c r="U282" s="125"/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87"/>
      <c r="AF282" s="125"/>
      <c r="AG282" s="125"/>
      <c r="AH282" s="125"/>
      <c r="AI282" s="125"/>
      <c r="AJ282" s="125"/>
      <c r="AK282" s="125"/>
      <c r="AL282" s="125"/>
    </row>
    <row r="283" ht="15.75" customHeight="1">
      <c r="A283" s="125"/>
      <c r="B283" s="125"/>
      <c r="C283" s="125"/>
      <c r="D283" s="125"/>
      <c r="E283" s="186"/>
      <c r="F283" s="186"/>
      <c r="G283" s="186"/>
      <c r="H283" s="186"/>
      <c r="I283" s="186"/>
      <c r="J283" s="186"/>
      <c r="K283" s="186"/>
      <c r="L283" s="186"/>
      <c r="M283" s="186"/>
      <c r="N283" s="186"/>
      <c r="O283" s="186"/>
      <c r="P283" s="186"/>
      <c r="Q283" s="186"/>
      <c r="R283" s="186"/>
      <c r="S283" s="186"/>
      <c r="T283" s="186"/>
      <c r="U283" s="125"/>
      <c r="V283" s="125"/>
      <c r="W283" s="125"/>
      <c r="X283" s="125"/>
      <c r="Y283" s="125"/>
      <c r="Z283" s="125"/>
      <c r="AA283" s="125"/>
      <c r="AB283" s="125"/>
      <c r="AC283" s="125"/>
      <c r="AD283" s="125"/>
      <c r="AE283" s="187"/>
      <c r="AF283" s="125"/>
      <c r="AG283" s="125"/>
      <c r="AH283" s="125"/>
      <c r="AI283" s="125"/>
      <c r="AJ283" s="125"/>
      <c r="AK283" s="125"/>
      <c r="AL283" s="125"/>
    </row>
    <row r="284" ht="15.75" customHeight="1">
      <c r="A284" s="125"/>
      <c r="B284" s="125"/>
      <c r="C284" s="125"/>
      <c r="D284" s="125"/>
      <c r="E284" s="186"/>
      <c r="F284" s="186"/>
      <c r="G284" s="186"/>
      <c r="H284" s="186"/>
      <c r="I284" s="186"/>
      <c r="J284" s="186"/>
      <c r="K284" s="186"/>
      <c r="L284" s="186"/>
      <c r="M284" s="186"/>
      <c r="N284" s="186"/>
      <c r="O284" s="186"/>
      <c r="P284" s="186"/>
      <c r="Q284" s="186"/>
      <c r="R284" s="186"/>
      <c r="S284" s="186"/>
      <c r="T284" s="186"/>
      <c r="U284" s="125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87"/>
      <c r="AF284" s="125"/>
      <c r="AG284" s="125"/>
      <c r="AH284" s="125"/>
      <c r="AI284" s="125"/>
      <c r="AJ284" s="125"/>
      <c r="AK284" s="125"/>
      <c r="AL284" s="125"/>
    </row>
    <row r="285" ht="15.75" customHeight="1">
      <c r="A285" s="125"/>
      <c r="B285" s="125"/>
      <c r="C285" s="125"/>
      <c r="D285" s="125"/>
      <c r="E285" s="186"/>
      <c r="F285" s="186"/>
      <c r="G285" s="186"/>
      <c r="H285" s="186"/>
      <c r="I285" s="186"/>
      <c r="J285" s="186"/>
      <c r="K285" s="186"/>
      <c r="L285" s="186"/>
      <c r="M285" s="186"/>
      <c r="N285" s="186"/>
      <c r="O285" s="186"/>
      <c r="P285" s="186"/>
      <c r="Q285" s="186"/>
      <c r="R285" s="186"/>
      <c r="S285" s="186"/>
      <c r="T285" s="186"/>
      <c r="U285" s="125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87"/>
      <c r="AF285" s="125"/>
      <c r="AG285" s="125"/>
      <c r="AH285" s="125"/>
      <c r="AI285" s="125"/>
      <c r="AJ285" s="125"/>
      <c r="AK285" s="125"/>
      <c r="AL285" s="125"/>
    </row>
    <row r="286" ht="15.75" customHeight="1">
      <c r="E286" s="197"/>
      <c r="F286" s="197"/>
      <c r="G286" s="197"/>
      <c r="H286" s="197"/>
      <c r="I286" s="197"/>
      <c r="J286" s="197"/>
      <c r="K286" s="197"/>
      <c r="L286" s="197"/>
      <c r="M286" s="197"/>
      <c r="N286" s="197"/>
      <c r="O286" s="197"/>
      <c r="P286" s="197"/>
      <c r="Q286" s="197"/>
      <c r="R286" s="197"/>
      <c r="S286" s="197"/>
      <c r="T286" s="197"/>
    </row>
    <row r="287" ht="15.75" customHeight="1">
      <c r="E287" s="197"/>
      <c r="F287" s="197"/>
      <c r="G287" s="197"/>
      <c r="H287" s="197"/>
      <c r="I287" s="197"/>
      <c r="J287" s="197"/>
      <c r="K287" s="197"/>
      <c r="L287" s="197"/>
      <c r="M287" s="197"/>
      <c r="N287" s="197"/>
      <c r="O287" s="197"/>
      <c r="P287" s="197"/>
      <c r="Q287" s="197"/>
      <c r="R287" s="197"/>
      <c r="S287" s="197"/>
      <c r="T287" s="197"/>
    </row>
    <row r="288" ht="15.75" customHeight="1">
      <c r="E288" s="197"/>
      <c r="F288" s="197"/>
      <c r="G288" s="197"/>
      <c r="H288" s="197"/>
      <c r="I288" s="197"/>
      <c r="J288" s="197"/>
      <c r="K288" s="197"/>
      <c r="L288" s="197"/>
      <c r="M288" s="197"/>
      <c r="N288" s="197"/>
      <c r="O288" s="197"/>
      <c r="P288" s="197"/>
      <c r="Q288" s="197"/>
      <c r="R288" s="197"/>
      <c r="S288" s="197"/>
      <c r="T288" s="197"/>
    </row>
    <row r="289" ht="15.75" customHeight="1">
      <c r="E289" s="197"/>
      <c r="F289" s="197"/>
      <c r="G289" s="197"/>
      <c r="H289" s="197"/>
      <c r="I289" s="197"/>
      <c r="J289" s="197"/>
      <c r="K289" s="197"/>
      <c r="L289" s="197"/>
      <c r="M289" s="197"/>
      <c r="N289" s="197"/>
      <c r="O289" s="197"/>
      <c r="P289" s="197"/>
      <c r="Q289" s="197"/>
      <c r="R289" s="197"/>
      <c r="S289" s="197"/>
      <c r="T289" s="197"/>
    </row>
    <row r="290" ht="15.75" customHeight="1">
      <c r="E290" s="197"/>
      <c r="F290" s="197"/>
      <c r="G290" s="197"/>
      <c r="H290" s="197"/>
      <c r="I290" s="197"/>
      <c r="J290" s="197"/>
      <c r="K290" s="197"/>
      <c r="L290" s="197"/>
      <c r="M290" s="197"/>
      <c r="N290" s="197"/>
      <c r="O290" s="197"/>
      <c r="P290" s="197"/>
      <c r="Q290" s="197"/>
      <c r="R290" s="197"/>
      <c r="S290" s="197"/>
      <c r="T290" s="197"/>
    </row>
    <row r="291" ht="15.75" customHeight="1">
      <c r="E291" s="197"/>
      <c r="F291" s="197"/>
      <c r="G291" s="197"/>
      <c r="H291" s="197"/>
      <c r="I291" s="197"/>
      <c r="J291" s="197"/>
      <c r="K291" s="197"/>
      <c r="L291" s="197"/>
      <c r="M291" s="197"/>
      <c r="N291" s="197"/>
      <c r="O291" s="197"/>
      <c r="P291" s="197"/>
      <c r="Q291" s="197"/>
      <c r="R291" s="197"/>
      <c r="S291" s="197"/>
      <c r="T291" s="197"/>
    </row>
    <row r="292" ht="15.75" customHeight="1">
      <c r="E292" s="197"/>
      <c r="F292" s="197"/>
      <c r="G292" s="197"/>
      <c r="H292" s="197"/>
      <c r="I292" s="197"/>
      <c r="J292" s="197"/>
      <c r="K292" s="197"/>
      <c r="L292" s="197"/>
      <c r="M292" s="197"/>
      <c r="N292" s="197"/>
      <c r="O292" s="197"/>
      <c r="P292" s="197"/>
      <c r="Q292" s="197"/>
      <c r="R292" s="197"/>
      <c r="S292" s="197"/>
      <c r="T292" s="197"/>
    </row>
    <row r="293" ht="15.75" customHeight="1">
      <c r="E293" s="197"/>
      <c r="F293" s="197"/>
      <c r="G293" s="197"/>
      <c r="H293" s="197"/>
      <c r="I293" s="197"/>
      <c r="J293" s="197"/>
      <c r="K293" s="197"/>
      <c r="L293" s="197"/>
      <c r="M293" s="197"/>
      <c r="N293" s="197"/>
      <c r="O293" s="197"/>
      <c r="P293" s="197"/>
      <c r="Q293" s="197"/>
      <c r="R293" s="197"/>
      <c r="S293" s="197"/>
      <c r="T293" s="197"/>
    </row>
    <row r="294" ht="15.75" customHeight="1">
      <c r="E294" s="197"/>
      <c r="F294" s="197"/>
      <c r="G294" s="197"/>
      <c r="H294" s="197"/>
      <c r="I294" s="197"/>
      <c r="J294" s="197"/>
      <c r="K294" s="197"/>
      <c r="L294" s="197"/>
      <c r="M294" s="197"/>
      <c r="N294" s="197"/>
      <c r="O294" s="197"/>
      <c r="P294" s="197"/>
      <c r="Q294" s="197"/>
      <c r="R294" s="197"/>
      <c r="S294" s="197"/>
      <c r="T294" s="197"/>
    </row>
    <row r="295" ht="15.75" customHeight="1">
      <c r="E295" s="197"/>
      <c r="F295" s="197"/>
      <c r="G295" s="197"/>
      <c r="H295" s="197"/>
      <c r="I295" s="197"/>
      <c r="J295" s="197"/>
      <c r="K295" s="197"/>
      <c r="L295" s="197"/>
      <c r="M295" s="197"/>
      <c r="N295" s="197"/>
      <c r="O295" s="197"/>
      <c r="P295" s="197"/>
      <c r="Q295" s="197"/>
      <c r="R295" s="197"/>
      <c r="S295" s="197"/>
      <c r="T295" s="197"/>
    </row>
    <row r="296" ht="15.75" customHeight="1">
      <c r="E296" s="197"/>
      <c r="F296" s="197"/>
      <c r="G296" s="197"/>
      <c r="H296" s="197"/>
      <c r="I296" s="197"/>
      <c r="J296" s="197"/>
      <c r="K296" s="197"/>
      <c r="L296" s="197"/>
      <c r="M296" s="197"/>
      <c r="N296" s="197"/>
      <c r="O296" s="197"/>
      <c r="P296" s="197"/>
      <c r="Q296" s="197"/>
      <c r="R296" s="197"/>
      <c r="S296" s="197"/>
      <c r="T296" s="197"/>
    </row>
    <row r="297" ht="15.75" customHeight="1">
      <c r="E297" s="197"/>
      <c r="F297" s="197"/>
      <c r="G297" s="197"/>
      <c r="H297" s="197"/>
      <c r="I297" s="197"/>
      <c r="J297" s="197"/>
      <c r="K297" s="197"/>
      <c r="L297" s="197"/>
      <c r="M297" s="197"/>
      <c r="N297" s="197"/>
      <c r="O297" s="197"/>
      <c r="P297" s="197"/>
      <c r="Q297" s="197"/>
      <c r="R297" s="197"/>
      <c r="S297" s="197"/>
      <c r="T297" s="197"/>
    </row>
    <row r="298" ht="15.75" customHeight="1">
      <c r="E298" s="197"/>
      <c r="F298" s="197"/>
      <c r="G298" s="197"/>
      <c r="H298" s="197"/>
      <c r="I298" s="197"/>
      <c r="J298" s="197"/>
      <c r="K298" s="197"/>
      <c r="L298" s="197"/>
      <c r="M298" s="197"/>
      <c r="N298" s="197"/>
      <c r="O298" s="197"/>
      <c r="P298" s="197"/>
      <c r="Q298" s="197"/>
      <c r="R298" s="197"/>
      <c r="S298" s="197"/>
      <c r="T298" s="197"/>
    </row>
    <row r="299" ht="15.75" customHeight="1">
      <c r="E299" s="197"/>
      <c r="F299" s="197"/>
      <c r="G299" s="197"/>
      <c r="H299" s="197"/>
      <c r="I299" s="197"/>
      <c r="J299" s="197"/>
      <c r="K299" s="197"/>
      <c r="L299" s="197"/>
      <c r="M299" s="197"/>
      <c r="N299" s="197"/>
      <c r="O299" s="197"/>
      <c r="P299" s="197"/>
      <c r="Q299" s="197"/>
      <c r="R299" s="197"/>
      <c r="S299" s="197"/>
      <c r="T299" s="197"/>
    </row>
    <row r="300" ht="15.75" customHeight="1">
      <c r="E300" s="197"/>
      <c r="F300" s="197"/>
      <c r="G300" s="197"/>
      <c r="H300" s="197"/>
      <c r="I300" s="197"/>
      <c r="J300" s="197"/>
      <c r="K300" s="197"/>
      <c r="L300" s="197"/>
      <c r="M300" s="197"/>
      <c r="N300" s="197"/>
      <c r="O300" s="197"/>
      <c r="P300" s="197"/>
      <c r="Q300" s="197"/>
      <c r="R300" s="197"/>
      <c r="S300" s="197"/>
      <c r="T300" s="197"/>
    </row>
    <row r="301" ht="15.75" customHeight="1">
      <c r="E301" s="197"/>
      <c r="F301" s="197"/>
      <c r="G301" s="197"/>
      <c r="H301" s="197"/>
      <c r="I301" s="197"/>
      <c r="J301" s="197"/>
      <c r="K301" s="197"/>
      <c r="L301" s="197"/>
      <c r="M301" s="197"/>
      <c r="N301" s="197"/>
      <c r="O301" s="197"/>
      <c r="P301" s="197"/>
      <c r="Q301" s="197"/>
      <c r="R301" s="197"/>
      <c r="S301" s="197"/>
      <c r="T301" s="197"/>
    </row>
    <row r="302" ht="15.75" customHeight="1">
      <c r="E302" s="197"/>
      <c r="F302" s="197"/>
      <c r="G302" s="197"/>
      <c r="H302" s="197"/>
      <c r="I302" s="197"/>
      <c r="J302" s="197"/>
      <c r="K302" s="197"/>
      <c r="L302" s="197"/>
      <c r="M302" s="197"/>
      <c r="N302" s="197"/>
      <c r="O302" s="197"/>
      <c r="P302" s="197"/>
      <c r="Q302" s="197"/>
      <c r="R302" s="197"/>
      <c r="S302" s="197"/>
      <c r="T302" s="197"/>
    </row>
    <row r="303" ht="15.75" customHeight="1">
      <c r="E303" s="197"/>
      <c r="F303" s="197"/>
      <c r="G303" s="197"/>
      <c r="H303" s="197"/>
      <c r="I303" s="197"/>
      <c r="J303" s="197"/>
      <c r="K303" s="197"/>
      <c r="L303" s="197"/>
      <c r="M303" s="197"/>
      <c r="N303" s="197"/>
      <c r="O303" s="197"/>
      <c r="P303" s="197"/>
      <c r="Q303" s="197"/>
      <c r="R303" s="197"/>
      <c r="S303" s="197"/>
      <c r="T303" s="197"/>
    </row>
    <row r="304" ht="15.75" customHeight="1">
      <c r="E304" s="197"/>
      <c r="F304" s="197"/>
      <c r="G304" s="197"/>
      <c r="H304" s="197"/>
      <c r="I304" s="197"/>
      <c r="J304" s="197"/>
      <c r="K304" s="197"/>
      <c r="L304" s="197"/>
      <c r="M304" s="197"/>
      <c r="N304" s="197"/>
      <c r="O304" s="197"/>
      <c r="P304" s="197"/>
      <c r="Q304" s="197"/>
      <c r="R304" s="197"/>
      <c r="S304" s="197"/>
      <c r="T304" s="197"/>
    </row>
    <row r="305" ht="15.75" customHeight="1">
      <c r="E305" s="197"/>
      <c r="F305" s="197"/>
      <c r="G305" s="197"/>
      <c r="H305" s="197"/>
      <c r="I305" s="197"/>
      <c r="J305" s="197"/>
      <c r="K305" s="197"/>
      <c r="L305" s="197"/>
      <c r="M305" s="197"/>
      <c r="N305" s="197"/>
      <c r="O305" s="197"/>
      <c r="P305" s="197"/>
      <c r="Q305" s="197"/>
      <c r="R305" s="197"/>
      <c r="S305" s="197"/>
      <c r="T305" s="197"/>
    </row>
    <row r="306" ht="15.75" customHeight="1">
      <c r="E306" s="197"/>
      <c r="F306" s="197"/>
      <c r="G306" s="197"/>
      <c r="H306" s="197"/>
      <c r="I306" s="197"/>
      <c r="J306" s="197"/>
      <c r="K306" s="197"/>
      <c r="L306" s="197"/>
      <c r="M306" s="197"/>
      <c r="N306" s="197"/>
      <c r="O306" s="197"/>
      <c r="P306" s="197"/>
      <c r="Q306" s="197"/>
      <c r="R306" s="197"/>
      <c r="S306" s="197"/>
      <c r="T306" s="197"/>
    </row>
    <row r="307" ht="15.75" customHeight="1">
      <c r="E307" s="197"/>
      <c r="F307" s="197"/>
      <c r="G307" s="197"/>
      <c r="H307" s="197"/>
      <c r="I307" s="197"/>
      <c r="J307" s="197"/>
      <c r="K307" s="197"/>
      <c r="L307" s="197"/>
      <c r="M307" s="197"/>
      <c r="N307" s="197"/>
      <c r="O307" s="197"/>
      <c r="P307" s="197"/>
      <c r="Q307" s="197"/>
      <c r="R307" s="197"/>
      <c r="S307" s="197"/>
      <c r="T307" s="197"/>
    </row>
    <row r="308" ht="15.75" customHeight="1">
      <c r="E308" s="197"/>
      <c r="F308" s="197"/>
      <c r="G308" s="197"/>
      <c r="H308" s="197"/>
      <c r="I308" s="197"/>
      <c r="J308" s="197"/>
      <c r="K308" s="197"/>
      <c r="L308" s="197"/>
      <c r="M308" s="197"/>
      <c r="N308" s="197"/>
      <c r="O308" s="197"/>
      <c r="P308" s="197"/>
      <c r="Q308" s="197"/>
      <c r="R308" s="197"/>
      <c r="S308" s="197"/>
      <c r="T308" s="197"/>
    </row>
    <row r="309" ht="15.75" customHeight="1">
      <c r="E309" s="197"/>
      <c r="F309" s="197"/>
      <c r="G309" s="197"/>
      <c r="H309" s="197"/>
      <c r="I309" s="197"/>
      <c r="J309" s="197"/>
      <c r="K309" s="197"/>
      <c r="L309" s="197"/>
      <c r="M309" s="197"/>
      <c r="N309" s="197"/>
      <c r="O309" s="197"/>
      <c r="P309" s="197"/>
      <c r="Q309" s="197"/>
      <c r="R309" s="197"/>
      <c r="S309" s="197"/>
      <c r="T309" s="197"/>
    </row>
    <row r="310" ht="15.75" customHeight="1">
      <c r="E310" s="197"/>
      <c r="F310" s="197"/>
      <c r="G310" s="197"/>
      <c r="H310" s="197"/>
      <c r="I310" s="197"/>
      <c r="J310" s="197"/>
      <c r="K310" s="197"/>
      <c r="L310" s="197"/>
      <c r="M310" s="197"/>
      <c r="N310" s="197"/>
      <c r="O310" s="197"/>
      <c r="P310" s="197"/>
      <c r="Q310" s="197"/>
      <c r="R310" s="197"/>
      <c r="S310" s="197"/>
      <c r="T310" s="197"/>
    </row>
    <row r="311" ht="15.75" customHeight="1">
      <c r="E311" s="197"/>
      <c r="F311" s="197"/>
      <c r="G311" s="197"/>
      <c r="H311" s="197"/>
      <c r="I311" s="197"/>
      <c r="J311" s="197"/>
      <c r="K311" s="197"/>
      <c r="L311" s="197"/>
      <c r="M311" s="197"/>
      <c r="N311" s="197"/>
      <c r="O311" s="197"/>
      <c r="P311" s="197"/>
      <c r="Q311" s="197"/>
      <c r="R311" s="197"/>
      <c r="S311" s="197"/>
      <c r="T311" s="197"/>
    </row>
    <row r="312" ht="15.75" customHeight="1">
      <c r="E312" s="197"/>
      <c r="F312" s="197"/>
      <c r="G312" s="197"/>
      <c r="H312" s="197"/>
      <c r="I312" s="197"/>
      <c r="J312" s="197"/>
      <c r="K312" s="197"/>
      <c r="L312" s="197"/>
      <c r="M312" s="197"/>
      <c r="N312" s="197"/>
      <c r="O312" s="197"/>
      <c r="P312" s="197"/>
      <c r="Q312" s="197"/>
      <c r="R312" s="197"/>
      <c r="S312" s="197"/>
      <c r="T312" s="197"/>
    </row>
    <row r="313" ht="15.75" customHeight="1">
      <c r="E313" s="197"/>
      <c r="F313" s="197"/>
      <c r="G313" s="197"/>
      <c r="H313" s="197"/>
      <c r="I313" s="197"/>
      <c r="J313" s="197"/>
      <c r="K313" s="197"/>
      <c r="L313" s="197"/>
      <c r="M313" s="197"/>
      <c r="N313" s="197"/>
      <c r="O313" s="197"/>
      <c r="P313" s="197"/>
      <c r="Q313" s="197"/>
      <c r="R313" s="197"/>
      <c r="S313" s="197"/>
      <c r="T313" s="197"/>
    </row>
    <row r="314" ht="15.75" customHeight="1">
      <c r="E314" s="197"/>
      <c r="F314" s="197"/>
      <c r="G314" s="197"/>
      <c r="H314" s="197"/>
      <c r="I314" s="197"/>
      <c r="J314" s="197"/>
      <c r="K314" s="197"/>
      <c r="L314" s="197"/>
      <c r="M314" s="197"/>
      <c r="N314" s="197"/>
      <c r="O314" s="197"/>
      <c r="P314" s="197"/>
      <c r="Q314" s="197"/>
      <c r="R314" s="197"/>
      <c r="S314" s="197"/>
      <c r="T314" s="197"/>
    </row>
    <row r="315" ht="15.75" customHeight="1">
      <c r="E315" s="197"/>
      <c r="F315" s="197"/>
      <c r="G315" s="197"/>
      <c r="H315" s="197"/>
      <c r="I315" s="197"/>
      <c r="J315" s="197"/>
      <c r="K315" s="197"/>
      <c r="L315" s="197"/>
      <c r="M315" s="197"/>
      <c r="N315" s="197"/>
      <c r="O315" s="197"/>
      <c r="P315" s="197"/>
      <c r="Q315" s="197"/>
      <c r="R315" s="197"/>
      <c r="S315" s="197"/>
      <c r="T315" s="197"/>
    </row>
    <row r="316" ht="15.75" customHeight="1">
      <c r="E316" s="197"/>
      <c r="F316" s="197"/>
      <c r="G316" s="197"/>
      <c r="H316" s="197"/>
      <c r="I316" s="197"/>
      <c r="J316" s="197"/>
      <c r="K316" s="197"/>
      <c r="L316" s="197"/>
      <c r="M316" s="197"/>
      <c r="N316" s="197"/>
      <c r="O316" s="197"/>
      <c r="P316" s="197"/>
      <c r="Q316" s="197"/>
      <c r="R316" s="197"/>
      <c r="S316" s="197"/>
      <c r="T316" s="197"/>
    </row>
    <row r="317" ht="15.75" customHeight="1">
      <c r="E317" s="197"/>
      <c r="F317" s="197"/>
      <c r="G317" s="197"/>
      <c r="H317" s="197"/>
      <c r="I317" s="197"/>
      <c r="J317" s="197"/>
      <c r="K317" s="197"/>
      <c r="L317" s="197"/>
      <c r="M317" s="197"/>
      <c r="N317" s="197"/>
      <c r="O317" s="197"/>
      <c r="P317" s="197"/>
      <c r="Q317" s="197"/>
      <c r="R317" s="197"/>
      <c r="S317" s="197"/>
      <c r="T317" s="197"/>
    </row>
    <row r="318" ht="15.75" customHeight="1">
      <c r="E318" s="197"/>
      <c r="F318" s="197"/>
      <c r="G318" s="197"/>
      <c r="H318" s="197"/>
      <c r="I318" s="197"/>
      <c r="J318" s="197"/>
      <c r="K318" s="197"/>
      <c r="L318" s="197"/>
      <c r="M318" s="197"/>
      <c r="N318" s="197"/>
      <c r="O318" s="197"/>
      <c r="P318" s="197"/>
      <c r="Q318" s="197"/>
      <c r="R318" s="197"/>
      <c r="S318" s="197"/>
      <c r="T318" s="197"/>
    </row>
    <row r="319" ht="15.75" customHeight="1">
      <c r="E319" s="197"/>
      <c r="F319" s="197"/>
      <c r="G319" s="197"/>
      <c r="H319" s="197"/>
      <c r="I319" s="197"/>
      <c r="J319" s="197"/>
      <c r="K319" s="197"/>
      <c r="L319" s="197"/>
      <c r="M319" s="197"/>
      <c r="N319" s="197"/>
      <c r="O319" s="197"/>
      <c r="P319" s="197"/>
      <c r="Q319" s="197"/>
      <c r="R319" s="197"/>
      <c r="S319" s="197"/>
      <c r="T319" s="197"/>
    </row>
    <row r="320" ht="15.75" customHeight="1">
      <c r="E320" s="197"/>
      <c r="F320" s="197"/>
      <c r="G320" s="197"/>
      <c r="H320" s="197"/>
      <c r="I320" s="197"/>
      <c r="J320" s="197"/>
      <c r="K320" s="197"/>
      <c r="L320" s="197"/>
      <c r="M320" s="197"/>
      <c r="N320" s="197"/>
      <c r="O320" s="197"/>
      <c r="P320" s="197"/>
      <c r="Q320" s="197"/>
      <c r="R320" s="197"/>
      <c r="S320" s="197"/>
      <c r="T320" s="197"/>
    </row>
    <row r="321" ht="15.75" customHeight="1">
      <c r="E321" s="197"/>
      <c r="F321" s="197"/>
      <c r="G321" s="197"/>
      <c r="H321" s="197"/>
      <c r="I321" s="197"/>
      <c r="J321" s="197"/>
      <c r="K321" s="197"/>
      <c r="L321" s="197"/>
      <c r="M321" s="197"/>
      <c r="N321" s="197"/>
      <c r="O321" s="197"/>
      <c r="P321" s="197"/>
      <c r="Q321" s="197"/>
      <c r="R321" s="197"/>
      <c r="S321" s="197"/>
      <c r="T321" s="197"/>
    </row>
    <row r="322" ht="15.75" customHeight="1">
      <c r="E322" s="197"/>
      <c r="F322" s="197"/>
      <c r="G322" s="197"/>
      <c r="H322" s="197"/>
      <c r="I322" s="197"/>
      <c r="J322" s="197"/>
      <c r="K322" s="197"/>
      <c r="L322" s="197"/>
      <c r="M322" s="197"/>
      <c r="N322" s="197"/>
      <c r="O322" s="197"/>
      <c r="P322" s="197"/>
      <c r="Q322" s="197"/>
      <c r="R322" s="197"/>
      <c r="S322" s="197"/>
      <c r="T322" s="197"/>
    </row>
    <row r="323" ht="15.75" customHeight="1">
      <c r="E323" s="197"/>
      <c r="F323" s="197"/>
      <c r="G323" s="197"/>
      <c r="H323" s="197"/>
      <c r="I323" s="197"/>
      <c r="J323" s="197"/>
      <c r="K323" s="197"/>
      <c r="L323" s="197"/>
      <c r="M323" s="197"/>
      <c r="N323" s="197"/>
      <c r="O323" s="197"/>
      <c r="P323" s="197"/>
      <c r="Q323" s="197"/>
      <c r="R323" s="197"/>
      <c r="S323" s="197"/>
      <c r="T323" s="197"/>
    </row>
    <row r="324" ht="15.75" customHeight="1">
      <c r="E324" s="197"/>
      <c r="F324" s="197"/>
      <c r="G324" s="197"/>
      <c r="H324" s="197"/>
      <c r="I324" s="197"/>
      <c r="J324" s="197"/>
      <c r="K324" s="197"/>
      <c r="L324" s="197"/>
      <c r="M324" s="197"/>
      <c r="N324" s="197"/>
      <c r="O324" s="197"/>
      <c r="P324" s="197"/>
      <c r="Q324" s="197"/>
      <c r="R324" s="197"/>
      <c r="S324" s="197"/>
      <c r="T324" s="197"/>
    </row>
    <row r="325" ht="15.75" customHeight="1">
      <c r="E325" s="197"/>
      <c r="F325" s="197"/>
      <c r="G325" s="197"/>
      <c r="H325" s="197"/>
      <c r="I325" s="197"/>
      <c r="J325" s="197"/>
      <c r="K325" s="197"/>
      <c r="L325" s="197"/>
      <c r="M325" s="197"/>
      <c r="N325" s="197"/>
      <c r="O325" s="197"/>
      <c r="P325" s="197"/>
      <c r="Q325" s="197"/>
      <c r="R325" s="197"/>
      <c r="S325" s="197"/>
      <c r="T325" s="197"/>
    </row>
    <row r="326" ht="15.75" customHeight="1">
      <c r="E326" s="197"/>
      <c r="F326" s="197"/>
      <c r="G326" s="197"/>
      <c r="H326" s="197"/>
      <c r="I326" s="197"/>
      <c r="J326" s="197"/>
      <c r="K326" s="197"/>
      <c r="L326" s="197"/>
      <c r="M326" s="197"/>
      <c r="N326" s="197"/>
      <c r="O326" s="197"/>
      <c r="P326" s="197"/>
      <c r="Q326" s="197"/>
      <c r="R326" s="197"/>
      <c r="S326" s="197"/>
      <c r="T326" s="197"/>
    </row>
    <row r="327" ht="15.75" customHeight="1">
      <c r="E327" s="197"/>
      <c r="F327" s="197"/>
      <c r="G327" s="197"/>
      <c r="H327" s="197"/>
      <c r="I327" s="197"/>
      <c r="J327" s="197"/>
      <c r="K327" s="197"/>
      <c r="L327" s="197"/>
      <c r="M327" s="197"/>
      <c r="N327" s="197"/>
      <c r="O327" s="197"/>
      <c r="P327" s="197"/>
      <c r="Q327" s="197"/>
      <c r="R327" s="197"/>
      <c r="S327" s="197"/>
      <c r="T327" s="197"/>
    </row>
    <row r="328" ht="15.75" customHeight="1">
      <c r="E328" s="197"/>
      <c r="F328" s="197"/>
      <c r="G328" s="197"/>
      <c r="H328" s="197"/>
      <c r="I328" s="197"/>
      <c r="J328" s="197"/>
      <c r="K328" s="197"/>
      <c r="L328" s="197"/>
      <c r="M328" s="197"/>
      <c r="N328" s="197"/>
      <c r="O328" s="197"/>
      <c r="P328" s="197"/>
      <c r="Q328" s="197"/>
      <c r="R328" s="197"/>
      <c r="S328" s="197"/>
      <c r="T328" s="197"/>
    </row>
    <row r="329" ht="15.75" customHeight="1">
      <c r="E329" s="197"/>
      <c r="F329" s="197"/>
      <c r="G329" s="197"/>
      <c r="H329" s="197"/>
      <c r="I329" s="197"/>
      <c r="J329" s="197"/>
      <c r="K329" s="197"/>
      <c r="L329" s="197"/>
      <c r="M329" s="197"/>
      <c r="N329" s="197"/>
      <c r="O329" s="197"/>
      <c r="P329" s="197"/>
      <c r="Q329" s="197"/>
      <c r="R329" s="197"/>
      <c r="S329" s="197"/>
      <c r="T329" s="197"/>
    </row>
    <row r="330" ht="15.75" customHeight="1">
      <c r="E330" s="197"/>
      <c r="F330" s="197"/>
      <c r="G330" s="197"/>
      <c r="H330" s="197"/>
      <c r="I330" s="197"/>
      <c r="J330" s="197"/>
      <c r="K330" s="197"/>
      <c r="L330" s="197"/>
      <c r="M330" s="197"/>
      <c r="N330" s="197"/>
      <c r="O330" s="197"/>
      <c r="P330" s="197"/>
      <c r="Q330" s="197"/>
      <c r="R330" s="197"/>
      <c r="S330" s="197"/>
      <c r="T330" s="197"/>
    </row>
    <row r="331" ht="15.75" customHeight="1">
      <c r="E331" s="197"/>
      <c r="F331" s="197"/>
      <c r="G331" s="197"/>
      <c r="H331" s="197"/>
      <c r="I331" s="197"/>
      <c r="J331" s="197"/>
      <c r="K331" s="197"/>
      <c r="L331" s="197"/>
      <c r="M331" s="197"/>
      <c r="N331" s="197"/>
      <c r="O331" s="197"/>
      <c r="P331" s="197"/>
      <c r="Q331" s="197"/>
      <c r="R331" s="197"/>
      <c r="S331" s="197"/>
      <c r="T331" s="197"/>
    </row>
    <row r="332" ht="15.75" customHeight="1">
      <c r="E332" s="197"/>
      <c r="F332" s="197"/>
      <c r="G332" s="197"/>
      <c r="H332" s="197"/>
      <c r="I332" s="197"/>
      <c r="J332" s="197"/>
      <c r="K332" s="197"/>
      <c r="L332" s="197"/>
      <c r="M332" s="197"/>
      <c r="N332" s="197"/>
      <c r="O332" s="197"/>
      <c r="P332" s="197"/>
      <c r="Q332" s="197"/>
      <c r="R332" s="197"/>
      <c r="S332" s="197"/>
      <c r="T332" s="197"/>
    </row>
    <row r="333" ht="15.75" customHeight="1">
      <c r="E333" s="197"/>
      <c r="F333" s="197"/>
      <c r="G333" s="197"/>
      <c r="H333" s="197"/>
      <c r="I333" s="197"/>
      <c r="J333" s="197"/>
      <c r="K333" s="197"/>
      <c r="L333" s="197"/>
      <c r="M333" s="197"/>
      <c r="N333" s="197"/>
      <c r="O333" s="197"/>
      <c r="P333" s="197"/>
      <c r="Q333" s="197"/>
      <c r="R333" s="197"/>
      <c r="S333" s="197"/>
      <c r="T333" s="197"/>
    </row>
    <row r="334" ht="15.75" customHeight="1">
      <c r="E334" s="197"/>
      <c r="F334" s="197"/>
      <c r="G334" s="197"/>
      <c r="H334" s="197"/>
      <c r="I334" s="197"/>
      <c r="J334" s="197"/>
      <c r="K334" s="197"/>
      <c r="L334" s="197"/>
      <c r="M334" s="197"/>
      <c r="N334" s="197"/>
      <c r="O334" s="197"/>
      <c r="P334" s="197"/>
      <c r="Q334" s="197"/>
      <c r="R334" s="197"/>
      <c r="S334" s="197"/>
      <c r="T334" s="197"/>
    </row>
    <row r="335" ht="15.75" customHeight="1">
      <c r="E335" s="197"/>
      <c r="F335" s="197"/>
      <c r="G335" s="197"/>
      <c r="H335" s="197"/>
      <c r="I335" s="197"/>
      <c r="J335" s="197"/>
      <c r="K335" s="197"/>
      <c r="L335" s="197"/>
      <c r="M335" s="197"/>
      <c r="N335" s="197"/>
      <c r="O335" s="197"/>
      <c r="P335" s="197"/>
      <c r="Q335" s="197"/>
      <c r="R335" s="197"/>
      <c r="S335" s="197"/>
      <c r="T335" s="197"/>
    </row>
    <row r="336" ht="15.75" customHeight="1">
      <c r="E336" s="197"/>
      <c r="F336" s="197"/>
      <c r="G336" s="197"/>
      <c r="H336" s="197"/>
      <c r="I336" s="197"/>
      <c r="J336" s="197"/>
      <c r="K336" s="197"/>
      <c r="L336" s="197"/>
      <c r="M336" s="197"/>
      <c r="N336" s="197"/>
      <c r="O336" s="197"/>
      <c r="P336" s="197"/>
      <c r="Q336" s="197"/>
      <c r="R336" s="197"/>
      <c r="S336" s="197"/>
      <c r="T336" s="197"/>
    </row>
    <row r="337" ht="15.75" customHeight="1">
      <c r="E337" s="197"/>
      <c r="F337" s="197"/>
      <c r="G337" s="197"/>
      <c r="H337" s="197"/>
      <c r="I337" s="197"/>
      <c r="J337" s="197"/>
      <c r="K337" s="197"/>
      <c r="L337" s="197"/>
      <c r="M337" s="197"/>
      <c r="N337" s="197"/>
      <c r="O337" s="197"/>
      <c r="P337" s="197"/>
      <c r="Q337" s="197"/>
      <c r="R337" s="197"/>
      <c r="S337" s="197"/>
      <c r="T337" s="197"/>
    </row>
    <row r="338" ht="15.75" customHeight="1">
      <c r="E338" s="197"/>
      <c r="F338" s="197"/>
      <c r="G338" s="197"/>
      <c r="H338" s="197"/>
      <c r="I338" s="197"/>
      <c r="J338" s="197"/>
      <c r="K338" s="197"/>
      <c r="L338" s="197"/>
      <c r="M338" s="197"/>
      <c r="N338" s="197"/>
      <c r="O338" s="197"/>
      <c r="P338" s="197"/>
      <c r="Q338" s="197"/>
      <c r="R338" s="197"/>
      <c r="S338" s="197"/>
      <c r="T338" s="197"/>
    </row>
    <row r="339" ht="15.75" customHeight="1">
      <c r="E339" s="197"/>
      <c r="F339" s="197"/>
      <c r="G339" s="197"/>
      <c r="H339" s="197"/>
      <c r="I339" s="197"/>
      <c r="J339" s="197"/>
      <c r="K339" s="197"/>
      <c r="L339" s="197"/>
      <c r="M339" s="197"/>
      <c r="N339" s="197"/>
      <c r="O339" s="197"/>
      <c r="P339" s="197"/>
      <c r="Q339" s="197"/>
      <c r="R339" s="197"/>
      <c r="S339" s="197"/>
      <c r="T339" s="197"/>
    </row>
    <row r="340" ht="15.75" customHeight="1">
      <c r="E340" s="197"/>
      <c r="F340" s="197"/>
      <c r="G340" s="197"/>
      <c r="H340" s="197"/>
      <c r="I340" s="197"/>
      <c r="J340" s="197"/>
      <c r="K340" s="197"/>
      <c r="L340" s="197"/>
      <c r="M340" s="197"/>
      <c r="N340" s="197"/>
      <c r="O340" s="197"/>
      <c r="P340" s="197"/>
      <c r="Q340" s="197"/>
      <c r="R340" s="197"/>
      <c r="S340" s="197"/>
      <c r="T340" s="197"/>
    </row>
    <row r="341" ht="15.75" customHeight="1">
      <c r="E341" s="197"/>
      <c r="F341" s="197"/>
      <c r="G341" s="197"/>
      <c r="H341" s="197"/>
      <c r="I341" s="197"/>
      <c r="J341" s="197"/>
      <c r="K341" s="197"/>
      <c r="L341" s="197"/>
      <c r="M341" s="197"/>
      <c r="N341" s="197"/>
      <c r="O341" s="197"/>
      <c r="P341" s="197"/>
      <c r="Q341" s="197"/>
      <c r="R341" s="197"/>
      <c r="S341" s="197"/>
      <c r="T341" s="197"/>
    </row>
    <row r="342" ht="15.75" customHeight="1">
      <c r="E342" s="197"/>
      <c r="F342" s="197"/>
      <c r="G342" s="197"/>
      <c r="H342" s="197"/>
      <c r="I342" s="197"/>
      <c r="J342" s="197"/>
      <c r="K342" s="197"/>
      <c r="L342" s="197"/>
      <c r="M342" s="197"/>
      <c r="N342" s="197"/>
      <c r="O342" s="197"/>
      <c r="P342" s="197"/>
      <c r="Q342" s="197"/>
      <c r="R342" s="197"/>
      <c r="S342" s="197"/>
      <c r="T342" s="197"/>
    </row>
    <row r="343" ht="15.75" customHeight="1">
      <c r="E343" s="197"/>
      <c r="F343" s="197"/>
      <c r="G343" s="197"/>
      <c r="H343" s="197"/>
      <c r="I343" s="197"/>
      <c r="J343" s="197"/>
      <c r="K343" s="197"/>
      <c r="L343" s="197"/>
      <c r="M343" s="197"/>
      <c r="N343" s="197"/>
      <c r="O343" s="197"/>
      <c r="P343" s="197"/>
      <c r="Q343" s="197"/>
      <c r="R343" s="197"/>
      <c r="S343" s="197"/>
      <c r="T343" s="197"/>
    </row>
    <row r="344" ht="15.75" customHeight="1">
      <c r="E344" s="197"/>
      <c r="F344" s="197"/>
      <c r="G344" s="197"/>
      <c r="H344" s="197"/>
      <c r="I344" s="197"/>
      <c r="J344" s="197"/>
      <c r="K344" s="197"/>
      <c r="L344" s="197"/>
      <c r="M344" s="197"/>
      <c r="N344" s="197"/>
      <c r="O344" s="197"/>
      <c r="P344" s="197"/>
      <c r="Q344" s="197"/>
      <c r="R344" s="197"/>
      <c r="S344" s="197"/>
      <c r="T344" s="197"/>
    </row>
    <row r="345" ht="15.75" customHeight="1">
      <c r="E345" s="197"/>
      <c r="F345" s="197"/>
      <c r="G345" s="197"/>
      <c r="H345" s="197"/>
      <c r="I345" s="197"/>
      <c r="J345" s="197"/>
      <c r="K345" s="197"/>
      <c r="L345" s="197"/>
      <c r="M345" s="197"/>
      <c r="N345" s="197"/>
      <c r="O345" s="197"/>
      <c r="P345" s="197"/>
      <c r="Q345" s="197"/>
      <c r="R345" s="197"/>
      <c r="S345" s="197"/>
      <c r="T345" s="197"/>
    </row>
    <row r="346" ht="15.75" customHeight="1">
      <c r="E346" s="197"/>
      <c r="F346" s="197"/>
      <c r="G346" s="197"/>
      <c r="H346" s="197"/>
      <c r="I346" s="197"/>
      <c r="J346" s="197"/>
      <c r="K346" s="197"/>
      <c r="L346" s="197"/>
      <c r="M346" s="197"/>
      <c r="N346" s="197"/>
      <c r="O346" s="197"/>
      <c r="P346" s="197"/>
      <c r="Q346" s="197"/>
      <c r="R346" s="197"/>
      <c r="S346" s="197"/>
      <c r="T346" s="197"/>
    </row>
    <row r="347" ht="15.75" customHeight="1">
      <c r="E347" s="197"/>
      <c r="F347" s="197"/>
      <c r="G347" s="197"/>
      <c r="H347" s="197"/>
      <c r="I347" s="197"/>
      <c r="J347" s="197"/>
      <c r="K347" s="197"/>
      <c r="L347" s="197"/>
      <c r="M347" s="197"/>
      <c r="N347" s="197"/>
      <c r="O347" s="197"/>
      <c r="P347" s="197"/>
      <c r="Q347" s="197"/>
      <c r="R347" s="197"/>
      <c r="S347" s="197"/>
      <c r="T347" s="197"/>
    </row>
    <row r="348" ht="15.75" customHeight="1">
      <c r="E348" s="197"/>
      <c r="F348" s="197"/>
      <c r="G348" s="197"/>
      <c r="H348" s="197"/>
      <c r="I348" s="197"/>
      <c r="J348" s="197"/>
      <c r="K348" s="197"/>
      <c r="L348" s="197"/>
      <c r="M348" s="197"/>
      <c r="N348" s="197"/>
      <c r="O348" s="197"/>
      <c r="P348" s="197"/>
      <c r="Q348" s="197"/>
      <c r="R348" s="197"/>
      <c r="S348" s="197"/>
      <c r="T348" s="197"/>
    </row>
    <row r="349" ht="15.75" customHeight="1">
      <c r="E349" s="197"/>
      <c r="F349" s="197"/>
      <c r="G349" s="197"/>
      <c r="H349" s="197"/>
      <c r="I349" s="197"/>
      <c r="J349" s="197"/>
      <c r="K349" s="197"/>
      <c r="L349" s="197"/>
      <c r="M349" s="197"/>
      <c r="N349" s="197"/>
      <c r="O349" s="197"/>
      <c r="P349" s="197"/>
      <c r="Q349" s="197"/>
      <c r="R349" s="197"/>
      <c r="S349" s="197"/>
      <c r="T349" s="197"/>
    </row>
    <row r="350" ht="15.75" customHeight="1">
      <c r="E350" s="197"/>
      <c r="F350" s="197"/>
      <c r="G350" s="197"/>
      <c r="H350" s="197"/>
      <c r="I350" s="197"/>
      <c r="J350" s="197"/>
      <c r="K350" s="197"/>
      <c r="L350" s="197"/>
      <c r="M350" s="197"/>
      <c r="N350" s="197"/>
      <c r="O350" s="197"/>
      <c r="P350" s="197"/>
      <c r="Q350" s="197"/>
      <c r="R350" s="197"/>
      <c r="S350" s="197"/>
      <c r="T350" s="197"/>
    </row>
    <row r="351" ht="15.75" customHeight="1">
      <c r="E351" s="197"/>
      <c r="F351" s="197"/>
      <c r="G351" s="197"/>
      <c r="H351" s="197"/>
      <c r="I351" s="197"/>
      <c r="J351" s="197"/>
      <c r="K351" s="197"/>
      <c r="L351" s="197"/>
      <c r="M351" s="197"/>
      <c r="N351" s="197"/>
      <c r="O351" s="197"/>
      <c r="P351" s="197"/>
      <c r="Q351" s="197"/>
      <c r="R351" s="197"/>
      <c r="S351" s="197"/>
      <c r="T351" s="197"/>
    </row>
    <row r="352" ht="15.75" customHeight="1">
      <c r="E352" s="197"/>
      <c r="F352" s="197"/>
      <c r="G352" s="197"/>
      <c r="H352" s="197"/>
      <c r="I352" s="197"/>
      <c r="J352" s="197"/>
      <c r="K352" s="197"/>
      <c r="L352" s="197"/>
      <c r="M352" s="197"/>
      <c r="N352" s="197"/>
      <c r="O352" s="197"/>
      <c r="P352" s="197"/>
      <c r="Q352" s="197"/>
      <c r="R352" s="197"/>
      <c r="S352" s="197"/>
      <c r="T352" s="197"/>
    </row>
    <row r="353" ht="15.75" customHeight="1">
      <c r="E353" s="197"/>
      <c r="F353" s="197"/>
      <c r="G353" s="197"/>
      <c r="H353" s="197"/>
      <c r="I353" s="197"/>
      <c r="J353" s="197"/>
      <c r="K353" s="197"/>
      <c r="L353" s="197"/>
      <c r="M353" s="197"/>
      <c r="N353" s="197"/>
      <c r="O353" s="197"/>
      <c r="P353" s="197"/>
      <c r="Q353" s="197"/>
      <c r="R353" s="197"/>
      <c r="S353" s="197"/>
      <c r="T353" s="197"/>
    </row>
    <row r="354" ht="15.75" customHeight="1">
      <c r="E354" s="197"/>
      <c r="F354" s="197"/>
      <c r="G354" s="197"/>
      <c r="H354" s="197"/>
      <c r="I354" s="197"/>
      <c r="J354" s="197"/>
      <c r="K354" s="197"/>
      <c r="L354" s="197"/>
      <c r="M354" s="197"/>
      <c r="N354" s="197"/>
      <c r="O354" s="197"/>
      <c r="P354" s="197"/>
      <c r="Q354" s="197"/>
      <c r="R354" s="197"/>
      <c r="S354" s="197"/>
      <c r="T354" s="197"/>
    </row>
    <row r="355" ht="15.75" customHeight="1">
      <c r="E355" s="197"/>
      <c r="F355" s="197"/>
      <c r="G355" s="197"/>
      <c r="H355" s="197"/>
      <c r="I355" s="197"/>
      <c r="J355" s="197"/>
      <c r="K355" s="197"/>
      <c r="L355" s="197"/>
      <c r="M355" s="197"/>
      <c r="N355" s="197"/>
      <c r="O355" s="197"/>
      <c r="P355" s="197"/>
      <c r="Q355" s="197"/>
      <c r="R355" s="197"/>
      <c r="S355" s="197"/>
      <c r="T355" s="197"/>
    </row>
    <row r="356" ht="15.75" customHeight="1">
      <c r="E356" s="197"/>
      <c r="F356" s="197"/>
      <c r="G356" s="197"/>
      <c r="H356" s="197"/>
      <c r="I356" s="197"/>
      <c r="J356" s="197"/>
      <c r="K356" s="197"/>
      <c r="L356" s="197"/>
      <c r="M356" s="197"/>
      <c r="N356" s="197"/>
      <c r="O356" s="197"/>
      <c r="P356" s="197"/>
      <c r="Q356" s="197"/>
      <c r="R356" s="197"/>
      <c r="S356" s="197"/>
      <c r="T356" s="197"/>
    </row>
    <row r="357" ht="15.75" customHeight="1">
      <c r="E357" s="197"/>
      <c r="F357" s="197"/>
      <c r="G357" s="197"/>
      <c r="H357" s="197"/>
      <c r="I357" s="197"/>
      <c r="J357" s="197"/>
      <c r="K357" s="197"/>
      <c r="L357" s="197"/>
      <c r="M357" s="197"/>
      <c r="N357" s="197"/>
      <c r="O357" s="197"/>
      <c r="P357" s="197"/>
      <c r="Q357" s="197"/>
      <c r="R357" s="197"/>
      <c r="S357" s="197"/>
      <c r="T357" s="197"/>
    </row>
    <row r="358" ht="15.75" customHeight="1">
      <c r="E358" s="197"/>
      <c r="F358" s="197"/>
      <c r="G358" s="197"/>
      <c r="H358" s="197"/>
      <c r="I358" s="197"/>
      <c r="J358" s="197"/>
      <c r="K358" s="197"/>
      <c r="L358" s="197"/>
      <c r="M358" s="197"/>
      <c r="N358" s="197"/>
      <c r="O358" s="197"/>
      <c r="P358" s="197"/>
      <c r="Q358" s="197"/>
      <c r="R358" s="197"/>
      <c r="S358" s="197"/>
      <c r="T358" s="197"/>
    </row>
    <row r="359" ht="15.75" customHeight="1">
      <c r="E359" s="197"/>
      <c r="F359" s="197"/>
      <c r="G359" s="197"/>
      <c r="H359" s="197"/>
      <c r="I359" s="197"/>
      <c r="J359" s="197"/>
      <c r="K359" s="197"/>
      <c r="L359" s="197"/>
      <c r="M359" s="197"/>
      <c r="N359" s="197"/>
      <c r="O359" s="197"/>
      <c r="P359" s="197"/>
      <c r="Q359" s="197"/>
      <c r="R359" s="197"/>
      <c r="S359" s="197"/>
      <c r="T359" s="197"/>
    </row>
    <row r="360" ht="15.75" customHeight="1">
      <c r="E360" s="197"/>
      <c r="F360" s="197"/>
      <c r="G360" s="197"/>
      <c r="H360" s="197"/>
      <c r="I360" s="197"/>
      <c r="J360" s="197"/>
      <c r="K360" s="197"/>
      <c r="L360" s="197"/>
      <c r="M360" s="197"/>
      <c r="N360" s="197"/>
      <c r="O360" s="197"/>
      <c r="P360" s="197"/>
      <c r="Q360" s="197"/>
      <c r="R360" s="197"/>
      <c r="S360" s="197"/>
      <c r="T360" s="197"/>
    </row>
    <row r="361" ht="15.75" customHeight="1">
      <c r="E361" s="197"/>
      <c r="F361" s="197"/>
      <c r="G361" s="197"/>
      <c r="H361" s="197"/>
      <c r="I361" s="197"/>
      <c r="J361" s="197"/>
      <c r="K361" s="197"/>
      <c r="L361" s="197"/>
      <c r="M361" s="197"/>
      <c r="N361" s="197"/>
      <c r="O361" s="197"/>
      <c r="P361" s="197"/>
      <c r="Q361" s="197"/>
      <c r="R361" s="197"/>
      <c r="S361" s="197"/>
      <c r="T361" s="197"/>
    </row>
    <row r="362" ht="15.75" customHeight="1">
      <c r="E362" s="197"/>
      <c r="F362" s="197"/>
      <c r="G362" s="197"/>
      <c r="H362" s="197"/>
      <c r="I362" s="197"/>
      <c r="J362" s="197"/>
      <c r="K362" s="197"/>
      <c r="L362" s="197"/>
      <c r="M362" s="197"/>
      <c r="N362" s="197"/>
      <c r="O362" s="197"/>
      <c r="P362" s="197"/>
      <c r="Q362" s="197"/>
      <c r="R362" s="197"/>
      <c r="S362" s="197"/>
      <c r="T362" s="197"/>
    </row>
    <row r="363" ht="15.75" customHeight="1">
      <c r="E363" s="197"/>
      <c r="F363" s="197"/>
      <c r="G363" s="197"/>
      <c r="H363" s="197"/>
      <c r="I363" s="197"/>
      <c r="J363" s="197"/>
      <c r="K363" s="197"/>
      <c r="L363" s="197"/>
      <c r="M363" s="197"/>
      <c r="N363" s="197"/>
      <c r="O363" s="197"/>
      <c r="P363" s="197"/>
      <c r="Q363" s="197"/>
      <c r="R363" s="197"/>
      <c r="S363" s="197"/>
      <c r="T363" s="197"/>
    </row>
    <row r="364" ht="15.75" customHeight="1">
      <c r="E364" s="197"/>
      <c r="F364" s="197"/>
      <c r="G364" s="197"/>
      <c r="H364" s="197"/>
      <c r="I364" s="197"/>
      <c r="J364" s="197"/>
      <c r="K364" s="197"/>
      <c r="L364" s="197"/>
      <c r="M364" s="197"/>
      <c r="N364" s="197"/>
      <c r="O364" s="197"/>
      <c r="P364" s="197"/>
      <c r="Q364" s="197"/>
      <c r="R364" s="197"/>
      <c r="S364" s="197"/>
      <c r="T364" s="197"/>
    </row>
    <row r="365" ht="15.75" customHeight="1">
      <c r="E365" s="197"/>
      <c r="F365" s="197"/>
      <c r="G365" s="197"/>
      <c r="H365" s="197"/>
      <c r="I365" s="197"/>
      <c r="J365" s="197"/>
      <c r="K365" s="197"/>
      <c r="L365" s="197"/>
      <c r="M365" s="197"/>
      <c r="N365" s="197"/>
      <c r="O365" s="197"/>
      <c r="P365" s="197"/>
      <c r="Q365" s="197"/>
      <c r="R365" s="197"/>
      <c r="S365" s="197"/>
      <c r="T365" s="197"/>
    </row>
    <row r="366" ht="15.75" customHeight="1">
      <c r="E366" s="197"/>
      <c r="F366" s="197"/>
      <c r="G366" s="197"/>
      <c r="H366" s="197"/>
      <c r="I366" s="197"/>
      <c r="J366" s="197"/>
      <c r="K366" s="197"/>
      <c r="L366" s="197"/>
      <c r="M366" s="197"/>
      <c r="N366" s="197"/>
      <c r="O366" s="197"/>
      <c r="P366" s="197"/>
      <c r="Q366" s="197"/>
      <c r="R366" s="197"/>
      <c r="S366" s="197"/>
      <c r="T366" s="197"/>
    </row>
    <row r="367" ht="15.75" customHeight="1">
      <c r="E367" s="197"/>
      <c r="F367" s="197"/>
      <c r="G367" s="197"/>
      <c r="H367" s="197"/>
      <c r="I367" s="197"/>
      <c r="J367" s="197"/>
      <c r="K367" s="197"/>
      <c r="L367" s="197"/>
      <c r="M367" s="197"/>
      <c r="N367" s="197"/>
      <c r="O367" s="197"/>
      <c r="P367" s="197"/>
      <c r="Q367" s="197"/>
      <c r="R367" s="197"/>
      <c r="S367" s="197"/>
      <c r="T367" s="197"/>
    </row>
    <row r="368" ht="15.75" customHeight="1">
      <c r="E368" s="197"/>
      <c r="F368" s="197"/>
      <c r="G368" s="197"/>
      <c r="H368" s="197"/>
      <c r="I368" s="197"/>
      <c r="J368" s="197"/>
      <c r="K368" s="197"/>
      <c r="L368" s="197"/>
      <c r="M368" s="197"/>
      <c r="N368" s="197"/>
      <c r="O368" s="197"/>
      <c r="P368" s="197"/>
      <c r="Q368" s="197"/>
      <c r="R368" s="197"/>
      <c r="S368" s="197"/>
      <c r="T368" s="197"/>
    </row>
    <row r="369" ht="15.75" customHeight="1">
      <c r="E369" s="197"/>
      <c r="F369" s="197"/>
      <c r="G369" s="197"/>
      <c r="H369" s="197"/>
      <c r="I369" s="197"/>
      <c r="J369" s="197"/>
      <c r="K369" s="197"/>
      <c r="L369" s="197"/>
      <c r="M369" s="197"/>
      <c r="N369" s="197"/>
      <c r="O369" s="197"/>
      <c r="P369" s="197"/>
      <c r="Q369" s="197"/>
      <c r="R369" s="197"/>
      <c r="S369" s="197"/>
      <c r="T369" s="197"/>
    </row>
    <row r="370" ht="15.75" customHeight="1">
      <c r="E370" s="197"/>
      <c r="F370" s="197"/>
      <c r="G370" s="197"/>
      <c r="H370" s="197"/>
      <c r="I370" s="197"/>
      <c r="J370" s="197"/>
      <c r="K370" s="197"/>
      <c r="L370" s="197"/>
      <c r="M370" s="197"/>
      <c r="N370" s="197"/>
      <c r="O370" s="197"/>
      <c r="P370" s="197"/>
      <c r="Q370" s="197"/>
      <c r="R370" s="197"/>
      <c r="S370" s="197"/>
      <c r="T370" s="197"/>
    </row>
    <row r="371" ht="15.75" customHeight="1">
      <c r="E371" s="197"/>
      <c r="F371" s="197"/>
      <c r="G371" s="197"/>
      <c r="H371" s="197"/>
      <c r="I371" s="197"/>
      <c r="J371" s="197"/>
      <c r="K371" s="197"/>
      <c r="L371" s="197"/>
      <c r="M371" s="197"/>
      <c r="N371" s="197"/>
      <c r="O371" s="197"/>
      <c r="P371" s="197"/>
      <c r="Q371" s="197"/>
      <c r="R371" s="197"/>
      <c r="S371" s="197"/>
      <c r="T371" s="197"/>
    </row>
    <row r="372" ht="15.75" customHeight="1">
      <c r="E372" s="197"/>
      <c r="F372" s="197"/>
      <c r="G372" s="197"/>
      <c r="H372" s="197"/>
      <c r="I372" s="197"/>
      <c r="J372" s="197"/>
      <c r="K372" s="197"/>
      <c r="L372" s="197"/>
      <c r="M372" s="197"/>
      <c r="N372" s="197"/>
      <c r="O372" s="197"/>
      <c r="P372" s="197"/>
      <c r="Q372" s="197"/>
      <c r="R372" s="197"/>
      <c r="S372" s="197"/>
      <c r="T372" s="197"/>
    </row>
    <row r="373" ht="15.75" customHeight="1">
      <c r="E373" s="197"/>
      <c r="F373" s="197"/>
      <c r="G373" s="197"/>
      <c r="H373" s="197"/>
      <c r="I373" s="197"/>
      <c r="J373" s="197"/>
      <c r="K373" s="197"/>
      <c r="L373" s="197"/>
      <c r="M373" s="197"/>
      <c r="N373" s="197"/>
      <c r="O373" s="197"/>
      <c r="P373" s="197"/>
      <c r="Q373" s="197"/>
      <c r="R373" s="197"/>
      <c r="S373" s="197"/>
      <c r="T373" s="197"/>
    </row>
    <row r="374" ht="15.75" customHeight="1">
      <c r="E374" s="197"/>
      <c r="F374" s="197"/>
      <c r="G374" s="197"/>
      <c r="H374" s="197"/>
      <c r="I374" s="197"/>
      <c r="J374" s="197"/>
      <c r="K374" s="197"/>
      <c r="L374" s="197"/>
      <c r="M374" s="197"/>
      <c r="N374" s="197"/>
      <c r="O374" s="197"/>
      <c r="P374" s="197"/>
      <c r="Q374" s="197"/>
      <c r="R374" s="197"/>
      <c r="S374" s="197"/>
      <c r="T374" s="197"/>
    </row>
    <row r="375" ht="15.75" customHeight="1">
      <c r="E375" s="197"/>
      <c r="F375" s="197"/>
      <c r="G375" s="197"/>
      <c r="H375" s="197"/>
      <c r="I375" s="197"/>
      <c r="J375" s="197"/>
      <c r="K375" s="197"/>
      <c r="L375" s="197"/>
      <c r="M375" s="197"/>
      <c r="N375" s="197"/>
      <c r="O375" s="197"/>
      <c r="P375" s="197"/>
      <c r="Q375" s="197"/>
      <c r="R375" s="197"/>
      <c r="S375" s="197"/>
      <c r="T375" s="197"/>
    </row>
    <row r="376" ht="15.75" customHeight="1">
      <c r="E376" s="197"/>
      <c r="F376" s="197"/>
      <c r="G376" s="197"/>
      <c r="H376" s="197"/>
      <c r="I376" s="197"/>
      <c r="J376" s="197"/>
      <c r="K376" s="197"/>
      <c r="L376" s="197"/>
      <c r="M376" s="197"/>
      <c r="N376" s="197"/>
      <c r="O376" s="197"/>
      <c r="P376" s="197"/>
      <c r="Q376" s="197"/>
      <c r="R376" s="197"/>
      <c r="S376" s="197"/>
      <c r="T376" s="197"/>
    </row>
    <row r="377" ht="15.75" customHeight="1">
      <c r="E377" s="197"/>
      <c r="F377" s="197"/>
      <c r="G377" s="197"/>
      <c r="H377" s="197"/>
      <c r="I377" s="197"/>
      <c r="J377" s="197"/>
      <c r="K377" s="197"/>
      <c r="L377" s="197"/>
      <c r="M377" s="197"/>
      <c r="N377" s="197"/>
      <c r="O377" s="197"/>
      <c r="P377" s="197"/>
      <c r="Q377" s="197"/>
      <c r="R377" s="197"/>
      <c r="S377" s="197"/>
      <c r="T377" s="197"/>
    </row>
    <row r="378" ht="15.75" customHeight="1">
      <c r="E378" s="197"/>
      <c r="F378" s="197"/>
      <c r="G378" s="197"/>
      <c r="H378" s="197"/>
      <c r="I378" s="197"/>
      <c r="J378" s="197"/>
      <c r="K378" s="197"/>
      <c r="L378" s="197"/>
      <c r="M378" s="197"/>
      <c r="N378" s="197"/>
      <c r="O378" s="197"/>
      <c r="P378" s="197"/>
      <c r="Q378" s="197"/>
      <c r="R378" s="197"/>
      <c r="S378" s="197"/>
      <c r="T378" s="197"/>
    </row>
    <row r="379" ht="15.75" customHeight="1">
      <c r="E379" s="197"/>
      <c r="F379" s="197"/>
      <c r="G379" s="197"/>
      <c r="H379" s="197"/>
      <c r="I379" s="197"/>
      <c r="J379" s="197"/>
      <c r="K379" s="197"/>
      <c r="L379" s="197"/>
      <c r="M379" s="197"/>
      <c r="N379" s="197"/>
      <c r="O379" s="197"/>
      <c r="P379" s="197"/>
      <c r="Q379" s="197"/>
      <c r="R379" s="197"/>
      <c r="S379" s="197"/>
      <c r="T379" s="197"/>
    </row>
    <row r="380" ht="15.75" customHeight="1">
      <c r="E380" s="197"/>
      <c r="F380" s="197"/>
      <c r="G380" s="197"/>
      <c r="H380" s="197"/>
      <c r="I380" s="197"/>
      <c r="J380" s="197"/>
      <c r="K380" s="197"/>
      <c r="L380" s="197"/>
      <c r="M380" s="197"/>
      <c r="N380" s="197"/>
      <c r="O380" s="197"/>
      <c r="P380" s="197"/>
      <c r="Q380" s="197"/>
      <c r="R380" s="197"/>
      <c r="S380" s="197"/>
      <c r="T380" s="197"/>
    </row>
    <row r="381" ht="15.75" customHeight="1">
      <c r="E381" s="197"/>
      <c r="F381" s="197"/>
      <c r="G381" s="197"/>
      <c r="H381" s="197"/>
      <c r="I381" s="197"/>
      <c r="J381" s="197"/>
      <c r="K381" s="197"/>
      <c r="L381" s="197"/>
      <c r="M381" s="197"/>
      <c r="N381" s="197"/>
      <c r="O381" s="197"/>
      <c r="P381" s="197"/>
      <c r="Q381" s="197"/>
      <c r="R381" s="197"/>
      <c r="S381" s="197"/>
      <c r="T381" s="197"/>
    </row>
    <row r="382" ht="15.75" customHeight="1">
      <c r="E382" s="197"/>
      <c r="F382" s="197"/>
      <c r="G382" s="197"/>
      <c r="H382" s="197"/>
      <c r="I382" s="197"/>
      <c r="J382" s="197"/>
      <c r="K382" s="197"/>
      <c r="L382" s="197"/>
      <c r="M382" s="197"/>
      <c r="N382" s="197"/>
      <c r="O382" s="197"/>
      <c r="P382" s="197"/>
      <c r="Q382" s="197"/>
      <c r="R382" s="197"/>
      <c r="S382" s="197"/>
      <c r="T382" s="197"/>
    </row>
    <row r="383" ht="15.75" customHeight="1">
      <c r="E383" s="197"/>
      <c r="F383" s="197"/>
      <c r="G383" s="197"/>
      <c r="H383" s="197"/>
      <c r="I383" s="197"/>
      <c r="J383" s="197"/>
      <c r="K383" s="197"/>
      <c r="L383" s="197"/>
      <c r="M383" s="197"/>
      <c r="N383" s="197"/>
      <c r="O383" s="197"/>
      <c r="P383" s="197"/>
      <c r="Q383" s="197"/>
      <c r="R383" s="197"/>
      <c r="S383" s="197"/>
      <c r="T383" s="197"/>
    </row>
    <row r="384" ht="15.75" customHeight="1">
      <c r="E384" s="197"/>
      <c r="F384" s="197"/>
      <c r="G384" s="197"/>
      <c r="H384" s="197"/>
      <c r="I384" s="197"/>
      <c r="J384" s="197"/>
      <c r="K384" s="197"/>
      <c r="L384" s="197"/>
      <c r="M384" s="197"/>
      <c r="N384" s="197"/>
      <c r="O384" s="197"/>
      <c r="P384" s="197"/>
      <c r="Q384" s="197"/>
      <c r="R384" s="197"/>
      <c r="S384" s="197"/>
      <c r="T384" s="197"/>
    </row>
    <row r="385" ht="15.75" customHeight="1">
      <c r="E385" s="197"/>
      <c r="F385" s="197"/>
      <c r="G385" s="197"/>
      <c r="H385" s="197"/>
      <c r="I385" s="197"/>
      <c r="J385" s="197"/>
      <c r="K385" s="197"/>
      <c r="L385" s="197"/>
      <c r="M385" s="197"/>
      <c r="N385" s="197"/>
      <c r="O385" s="197"/>
      <c r="P385" s="197"/>
      <c r="Q385" s="197"/>
      <c r="R385" s="197"/>
      <c r="S385" s="197"/>
      <c r="T385" s="197"/>
    </row>
    <row r="386" ht="15.75" customHeight="1">
      <c r="E386" s="197"/>
      <c r="F386" s="197"/>
      <c r="G386" s="197"/>
      <c r="H386" s="197"/>
      <c r="I386" s="197"/>
      <c r="J386" s="197"/>
      <c r="K386" s="197"/>
      <c r="L386" s="197"/>
      <c r="M386" s="197"/>
      <c r="N386" s="197"/>
      <c r="O386" s="197"/>
      <c r="P386" s="197"/>
      <c r="Q386" s="197"/>
      <c r="R386" s="197"/>
      <c r="S386" s="197"/>
      <c r="T386" s="197"/>
    </row>
    <row r="387" ht="15.75" customHeight="1">
      <c r="E387" s="197"/>
      <c r="F387" s="197"/>
      <c r="G387" s="197"/>
      <c r="H387" s="197"/>
      <c r="I387" s="197"/>
      <c r="J387" s="197"/>
      <c r="K387" s="197"/>
      <c r="L387" s="197"/>
      <c r="M387" s="197"/>
      <c r="N387" s="197"/>
      <c r="O387" s="197"/>
      <c r="P387" s="197"/>
      <c r="Q387" s="197"/>
      <c r="R387" s="197"/>
      <c r="S387" s="197"/>
      <c r="T387" s="197"/>
    </row>
    <row r="388" ht="15.75" customHeight="1">
      <c r="E388" s="197"/>
      <c r="F388" s="197"/>
      <c r="G388" s="197"/>
      <c r="H388" s="197"/>
      <c r="I388" s="197"/>
      <c r="J388" s="197"/>
      <c r="K388" s="197"/>
      <c r="L388" s="197"/>
      <c r="M388" s="197"/>
      <c r="N388" s="197"/>
      <c r="O388" s="197"/>
      <c r="P388" s="197"/>
      <c r="Q388" s="197"/>
      <c r="R388" s="197"/>
      <c r="S388" s="197"/>
      <c r="T388" s="197"/>
    </row>
    <row r="389" ht="15.75" customHeight="1">
      <c r="E389" s="197"/>
      <c r="F389" s="197"/>
      <c r="G389" s="197"/>
      <c r="H389" s="197"/>
      <c r="I389" s="197"/>
      <c r="J389" s="197"/>
      <c r="K389" s="197"/>
      <c r="L389" s="197"/>
      <c r="M389" s="197"/>
      <c r="N389" s="197"/>
      <c r="O389" s="197"/>
      <c r="P389" s="197"/>
      <c r="Q389" s="197"/>
      <c r="R389" s="197"/>
      <c r="S389" s="197"/>
      <c r="T389" s="197"/>
    </row>
    <row r="390" ht="15.75" customHeight="1">
      <c r="E390" s="197"/>
      <c r="F390" s="197"/>
      <c r="G390" s="197"/>
      <c r="H390" s="197"/>
      <c r="I390" s="197"/>
      <c r="J390" s="197"/>
      <c r="K390" s="197"/>
      <c r="L390" s="197"/>
      <c r="M390" s="197"/>
      <c r="N390" s="197"/>
      <c r="O390" s="197"/>
      <c r="P390" s="197"/>
      <c r="Q390" s="197"/>
      <c r="R390" s="197"/>
      <c r="S390" s="197"/>
      <c r="T390" s="197"/>
    </row>
    <row r="391" ht="15.75" customHeight="1">
      <c r="E391" s="197"/>
      <c r="F391" s="197"/>
      <c r="G391" s="197"/>
      <c r="H391" s="197"/>
      <c r="I391" s="197"/>
      <c r="J391" s="197"/>
      <c r="K391" s="197"/>
      <c r="L391" s="197"/>
      <c r="M391" s="197"/>
      <c r="N391" s="197"/>
      <c r="O391" s="197"/>
      <c r="P391" s="197"/>
      <c r="Q391" s="197"/>
      <c r="R391" s="197"/>
      <c r="S391" s="197"/>
      <c r="T391" s="197"/>
    </row>
    <row r="392" ht="15.75" customHeight="1">
      <c r="E392" s="197"/>
      <c r="F392" s="197"/>
      <c r="G392" s="197"/>
      <c r="H392" s="197"/>
      <c r="I392" s="197"/>
      <c r="J392" s="197"/>
      <c r="K392" s="197"/>
      <c r="L392" s="197"/>
      <c r="M392" s="197"/>
      <c r="N392" s="197"/>
      <c r="O392" s="197"/>
      <c r="P392" s="197"/>
      <c r="Q392" s="197"/>
      <c r="R392" s="197"/>
      <c r="S392" s="197"/>
      <c r="T392" s="197"/>
    </row>
    <row r="393" ht="15.75" customHeight="1">
      <c r="E393" s="197"/>
      <c r="F393" s="197"/>
      <c r="G393" s="197"/>
      <c r="H393" s="197"/>
      <c r="I393" s="197"/>
      <c r="J393" s="197"/>
      <c r="K393" s="197"/>
      <c r="L393" s="197"/>
      <c r="M393" s="197"/>
      <c r="N393" s="197"/>
      <c r="O393" s="197"/>
      <c r="P393" s="197"/>
      <c r="Q393" s="197"/>
      <c r="R393" s="197"/>
      <c r="S393" s="197"/>
      <c r="T393" s="197"/>
    </row>
    <row r="394" ht="15.75" customHeight="1">
      <c r="E394" s="197"/>
      <c r="F394" s="197"/>
      <c r="G394" s="197"/>
      <c r="H394" s="197"/>
      <c r="I394" s="197"/>
      <c r="J394" s="197"/>
      <c r="K394" s="197"/>
      <c r="L394" s="197"/>
      <c r="M394" s="197"/>
      <c r="N394" s="197"/>
      <c r="O394" s="197"/>
      <c r="P394" s="197"/>
      <c r="Q394" s="197"/>
      <c r="R394" s="197"/>
      <c r="S394" s="197"/>
      <c r="T394" s="197"/>
    </row>
    <row r="395" ht="15.75" customHeight="1">
      <c r="E395" s="197"/>
      <c r="F395" s="197"/>
      <c r="G395" s="197"/>
      <c r="H395" s="197"/>
      <c r="I395" s="197"/>
      <c r="J395" s="197"/>
      <c r="K395" s="197"/>
      <c r="L395" s="197"/>
      <c r="M395" s="197"/>
      <c r="N395" s="197"/>
      <c r="O395" s="197"/>
      <c r="P395" s="197"/>
      <c r="Q395" s="197"/>
      <c r="R395" s="197"/>
      <c r="S395" s="197"/>
      <c r="T395" s="197"/>
    </row>
    <row r="396" ht="15.75" customHeight="1">
      <c r="E396" s="197"/>
      <c r="F396" s="197"/>
      <c r="G396" s="197"/>
      <c r="H396" s="197"/>
      <c r="I396" s="197"/>
      <c r="J396" s="197"/>
      <c r="K396" s="197"/>
      <c r="L396" s="197"/>
      <c r="M396" s="197"/>
      <c r="N396" s="197"/>
      <c r="O396" s="197"/>
      <c r="P396" s="197"/>
      <c r="Q396" s="197"/>
      <c r="R396" s="197"/>
      <c r="S396" s="197"/>
      <c r="T396" s="197"/>
    </row>
    <row r="397" ht="15.75" customHeight="1">
      <c r="E397" s="197"/>
      <c r="F397" s="197"/>
      <c r="G397" s="197"/>
      <c r="H397" s="197"/>
      <c r="I397" s="197"/>
      <c r="J397" s="197"/>
      <c r="K397" s="197"/>
      <c r="L397" s="197"/>
      <c r="M397" s="197"/>
      <c r="N397" s="197"/>
      <c r="O397" s="197"/>
      <c r="P397" s="197"/>
      <c r="Q397" s="197"/>
      <c r="R397" s="197"/>
      <c r="S397" s="197"/>
      <c r="T397" s="197"/>
    </row>
    <row r="398" ht="15.75" customHeight="1">
      <c r="E398" s="197"/>
      <c r="F398" s="197"/>
      <c r="G398" s="197"/>
      <c r="H398" s="197"/>
      <c r="I398" s="197"/>
      <c r="J398" s="197"/>
      <c r="K398" s="197"/>
      <c r="L398" s="197"/>
      <c r="M398" s="197"/>
      <c r="N398" s="197"/>
      <c r="O398" s="197"/>
      <c r="P398" s="197"/>
      <c r="Q398" s="197"/>
      <c r="R398" s="197"/>
      <c r="S398" s="197"/>
      <c r="T398" s="197"/>
    </row>
    <row r="399" ht="15.75" customHeight="1">
      <c r="E399" s="197"/>
      <c r="F399" s="197"/>
      <c r="G399" s="197"/>
      <c r="H399" s="197"/>
      <c r="I399" s="197"/>
      <c r="J399" s="197"/>
      <c r="K399" s="197"/>
      <c r="L399" s="197"/>
      <c r="M399" s="197"/>
      <c r="N399" s="197"/>
      <c r="O399" s="197"/>
      <c r="P399" s="197"/>
      <c r="Q399" s="197"/>
      <c r="R399" s="197"/>
      <c r="S399" s="197"/>
      <c r="T399" s="197"/>
    </row>
    <row r="400" ht="15.75" customHeight="1">
      <c r="E400" s="197"/>
      <c r="F400" s="197"/>
      <c r="G400" s="197"/>
      <c r="H400" s="197"/>
      <c r="I400" s="197"/>
      <c r="J400" s="197"/>
      <c r="K400" s="197"/>
      <c r="L400" s="197"/>
      <c r="M400" s="197"/>
      <c r="N400" s="197"/>
      <c r="O400" s="197"/>
      <c r="P400" s="197"/>
      <c r="Q400" s="197"/>
      <c r="R400" s="197"/>
      <c r="S400" s="197"/>
      <c r="T400" s="197"/>
    </row>
    <row r="401" ht="15.75" customHeight="1">
      <c r="E401" s="197"/>
      <c r="F401" s="197"/>
      <c r="G401" s="197"/>
      <c r="H401" s="197"/>
      <c r="I401" s="197"/>
      <c r="J401" s="197"/>
      <c r="K401" s="197"/>
      <c r="L401" s="197"/>
      <c r="M401" s="197"/>
      <c r="N401" s="197"/>
      <c r="O401" s="197"/>
      <c r="P401" s="197"/>
      <c r="Q401" s="197"/>
      <c r="R401" s="197"/>
      <c r="S401" s="197"/>
      <c r="T401" s="197"/>
    </row>
    <row r="402" ht="15.75" customHeight="1">
      <c r="E402" s="197"/>
      <c r="F402" s="197"/>
      <c r="G402" s="197"/>
      <c r="H402" s="197"/>
      <c r="I402" s="197"/>
      <c r="J402" s="197"/>
      <c r="K402" s="197"/>
      <c r="L402" s="197"/>
      <c r="M402" s="197"/>
      <c r="N402" s="197"/>
      <c r="O402" s="197"/>
      <c r="P402" s="197"/>
      <c r="Q402" s="197"/>
      <c r="R402" s="197"/>
      <c r="S402" s="197"/>
      <c r="T402" s="197"/>
    </row>
    <row r="403" ht="15.75" customHeight="1">
      <c r="E403" s="197"/>
      <c r="F403" s="197"/>
      <c r="G403" s="197"/>
      <c r="H403" s="197"/>
      <c r="I403" s="197"/>
      <c r="J403" s="197"/>
      <c r="K403" s="197"/>
      <c r="L403" s="197"/>
      <c r="M403" s="197"/>
      <c r="N403" s="197"/>
      <c r="O403" s="197"/>
      <c r="P403" s="197"/>
      <c r="Q403" s="197"/>
      <c r="R403" s="197"/>
      <c r="S403" s="197"/>
      <c r="T403" s="197"/>
    </row>
    <row r="404" ht="15.75" customHeight="1">
      <c r="E404" s="197"/>
      <c r="F404" s="197"/>
      <c r="G404" s="197"/>
      <c r="H404" s="197"/>
      <c r="I404" s="197"/>
      <c r="J404" s="197"/>
      <c r="K404" s="197"/>
      <c r="L404" s="197"/>
      <c r="M404" s="197"/>
      <c r="N404" s="197"/>
      <c r="O404" s="197"/>
      <c r="P404" s="197"/>
      <c r="Q404" s="197"/>
      <c r="R404" s="197"/>
      <c r="S404" s="197"/>
      <c r="T404" s="197"/>
    </row>
    <row r="405" ht="15.75" customHeight="1">
      <c r="E405" s="197"/>
      <c r="F405" s="197"/>
      <c r="G405" s="197"/>
      <c r="H405" s="197"/>
      <c r="I405" s="197"/>
      <c r="J405" s="197"/>
      <c r="K405" s="197"/>
      <c r="L405" s="197"/>
      <c r="M405" s="197"/>
      <c r="N405" s="197"/>
      <c r="O405" s="197"/>
      <c r="P405" s="197"/>
      <c r="Q405" s="197"/>
      <c r="R405" s="197"/>
      <c r="S405" s="197"/>
      <c r="T405" s="197"/>
    </row>
    <row r="406" ht="15.75" customHeight="1">
      <c r="E406" s="197"/>
      <c r="F406" s="197"/>
      <c r="G406" s="197"/>
      <c r="H406" s="197"/>
      <c r="I406" s="197"/>
      <c r="J406" s="197"/>
      <c r="K406" s="197"/>
      <c r="L406" s="197"/>
      <c r="M406" s="197"/>
      <c r="N406" s="197"/>
      <c r="O406" s="197"/>
      <c r="P406" s="197"/>
      <c r="Q406" s="197"/>
      <c r="R406" s="197"/>
      <c r="S406" s="197"/>
      <c r="T406" s="197"/>
    </row>
    <row r="407" ht="15.75" customHeight="1">
      <c r="E407" s="197"/>
      <c r="F407" s="197"/>
      <c r="G407" s="197"/>
      <c r="H407" s="197"/>
      <c r="I407" s="197"/>
      <c r="J407" s="197"/>
      <c r="K407" s="197"/>
      <c r="L407" s="197"/>
      <c r="M407" s="197"/>
      <c r="N407" s="197"/>
      <c r="O407" s="197"/>
      <c r="P407" s="197"/>
      <c r="Q407" s="197"/>
      <c r="R407" s="197"/>
      <c r="S407" s="197"/>
      <c r="T407" s="197"/>
    </row>
    <row r="408" ht="15.75" customHeight="1">
      <c r="E408" s="197"/>
      <c r="F408" s="197"/>
      <c r="G408" s="197"/>
      <c r="H408" s="197"/>
      <c r="I408" s="197"/>
      <c r="J408" s="197"/>
      <c r="K408" s="197"/>
      <c r="L408" s="197"/>
      <c r="M408" s="197"/>
      <c r="N408" s="197"/>
      <c r="O408" s="197"/>
      <c r="P408" s="197"/>
      <c r="Q408" s="197"/>
      <c r="R408" s="197"/>
      <c r="S408" s="197"/>
      <c r="T408" s="197"/>
    </row>
    <row r="409" ht="15.75" customHeight="1">
      <c r="E409" s="197"/>
      <c r="F409" s="197"/>
      <c r="G409" s="197"/>
      <c r="H409" s="197"/>
      <c r="I409" s="197"/>
      <c r="J409" s="197"/>
      <c r="K409" s="197"/>
      <c r="L409" s="197"/>
      <c r="M409" s="197"/>
      <c r="N409" s="197"/>
      <c r="O409" s="197"/>
      <c r="P409" s="197"/>
      <c r="Q409" s="197"/>
      <c r="R409" s="197"/>
      <c r="S409" s="197"/>
      <c r="T409" s="197"/>
    </row>
    <row r="410" ht="15.75" customHeight="1">
      <c r="E410" s="197"/>
      <c r="F410" s="197"/>
      <c r="G410" s="197"/>
      <c r="H410" s="197"/>
      <c r="I410" s="197"/>
      <c r="J410" s="197"/>
      <c r="K410" s="197"/>
      <c r="L410" s="197"/>
      <c r="M410" s="197"/>
      <c r="N410" s="197"/>
      <c r="O410" s="197"/>
      <c r="P410" s="197"/>
      <c r="Q410" s="197"/>
      <c r="R410" s="197"/>
      <c r="S410" s="197"/>
      <c r="T410" s="197"/>
    </row>
    <row r="411" ht="15.75" customHeight="1">
      <c r="E411" s="197"/>
      <c r="F411" s="197"/>
      <c r="G411" s="197"/>
      <c r="H411" s="197"/>
      <c r="I411" s="197"/>
      <c r="J411" s="197"/>
      <c r="K411" s="197"/>
      <c r="L411" s="197"/>
      <c r="M411" s="197"/>
      <c r="N411" s="197"/>
      <c r="O411" s="197"/>
      <c r="P411" s="197"/>
      <c r="Q411" s="197"/>
      <c r="R411" s="197"/>
      <c r="S411" s="197"/>
      <c r="T411" s="197"/>
    </row>
    <row r="412" ht="15.75" customHeight="1">
      <c r="E412" s="197"/>
      <c r="F412" s="197"/>
      <c r="G412" s="197"/>
      <c r="H412" s="197"/>
      <c r="I412" s="197"/>
      <c r="J412" s="197"/>
      <c r="K412" s="197"/>
      <c r="L412" s="197"/>
      <c r="M412" s="197"/>
      <c r="N412" s="197"/>
      <c r="O412" s="197"/>
      <c r="P412" s="197"/>
      <c r="Q412" s="197"/>
      <c r="R412" s="197"/>
      <c r="S412" s="197"/>
      <c r="T412" s="197"/>
    </row>
    <row r="413" ht="15.75" customHeight="1">
      <c r="E413" s="197"/>
      <c r="F413" s="197"/>
      <c r="G413" s="197"/>
      <c r="H413" s="197"/>
      <c r="I413" s="197"/>
      <c r="J413" s="197"/>
      <c r="K413" s="197"/>
      <c r="L413" s="197"/>
      <c r="M413" s="197"/>
      <c r="N413" s="197"/>
      <c r="O413" s="197"/>
      <c r="P413" s="197"/>
      <c r="Q413" s="197"/>
      <c r="R413" s="197"/>
      <c r="S413" s="197"/>
      <c r="T413" s="197"/>
    </row>
    <row r="414" ht="15.75" customHeight="1">
      <c r="E414" s="197"/>
      <c r="F414" s="197"/>
      <c r="G414" s="197"/>
      <c r="H414" s="197"/>
      <c r="I414" s="197"/>
      <c r="J414" s="197"/>
      <c r="K414" s="197"/>
      <c r="L414" s="197"/>
      <c r="M414" s="197"/>
      <c r="N414" s="197"/>
      <c r="O414" s="197"/>
      <c r="P414" s="197"/>
      <c r="Q414" s="197"/>
      <c r="R414" s="197"/>
      <c r="S414" s="197"/>
      <c r="T414" s="197"/>
    </row>
    <row r="415" ht="15.75" customHeight="1">
      <c r="E415" s="197"/>
      <c r="F415" s="197"/>
      <c r="G415" s="197"/>
      <c r="H415" s="197"/>
      <c r="I415" s="197"/>
      <c r="J415" s="197"/>
      <c r="K415" s="197"/>
      <c r="L415" s="197"/>
      <c r="M415" s="197"/>
      <c r="N415" s="197"/>
      <c r="O415" s="197"/>
      <c r="P415" s="197"/>
      <c r="Q415" s="197"/>
      <c r="R415" s="197"/>
      <c r="S415" s="197"/>
      <c r="T415" s="197"/>
    </row>
    <row r="416" ht="15.75" customHeight="1">
      <c r="E416" s="197"/>
      <c r="F416" s="197"/>
      <c r="G416" s="197"/>
      <c r="H416" s="197"/>
      <c r="I416" s="197"/>
      <c r="J416" s="197"/>
      <c r="K416" s="197"/>
      <c r="L416" s="197"/>
      <c r="M416" s="197"/>
      <c r="N416" s="197"/>
      <c r="O416" s="197"/>
      <c r="P416" s="197"/>
      <c r="Q416" s="197"/>
      <c r="R416" s="197"/>
      <c r="S416" s="197"/>
      <c r="T416" s="197"/>
    </row>
    <row r="417" ht="15.75" customHeight="1">
      <c r="E417" s="197"/>
      <c r="F417" s="197"/>
      <c r="G417" s="197"/>
      <c r="H417" s="197"/>
      <c r="I417" s="197"/>
      <c r="J417" s="197"/>
      <c r="K417" s="197"/>
      <c r="L417" s="197"/>
      <c r="M417" s="197"/>
      <c r="N417" s="197"/>
      <c r="O417" s="197"/>
      <c r="P417" s="197"/>
      <c r="Q417" s="197"/>
      <c r="R417" s="197"/>
      <c r="S417" s="197"/>
      <c r="T417" s="197"/>
    </row>
    <row r="418" ht="15.75" customHeight="1">
      <c r="E418" s="197"/>
      <c r="F418" s="197"/>
      <c r="G418" s="197"/>
      <c r="H418" s="197"/>
      <c r="I418" s="197"/>
      <c r="J418" s="197"/>
      <c r="K418" s="197"/>
      <c r="L418" s="197"/>
      <c r="M418" s="197"/>
      <c r="N418" s="197"/>
      <c r="O418" s="197"/>
      <c r="P418" s="197"/>
      <c r="Q418" s="197"/>
      <c r="R418" s="197"/>
      <c r="S418" s="197"/>
      <c r="T418" s="197"/>
    </row>
    <row r="419" ht="15.75" customHeight="1">
      <c r="E419" s="197"/>
      <c r="F419" s="197"/>
      <c r="G419" s="197"/>
      <c r="H419" s="197"/>
      <c r="I419" s="197"/>
      <c r="J419" s="197"/>
      <c r="K419" s="197"/>
      <c r="L419" s="197"/>
      <c r="M419" s="197"/>
      <c r="N419" s="197"/>
      <c r="O419" s="197"/>
      <c r="P419" s="197"/>
      <c r="Q419" s="197"/>
      <c r="R419" s="197"/>
      <c r="S419" s="197"/>
      <c r="T419" s="197"/>
    </row>
    <row r="420" ht="15.75" customHeight="1">
      <c r="E420" s="197"/>
      <c r="F420" s="197"/>
      <c r="G420" s="197"/>
      <c r="H420" s="197"/>
      <c r="I420" s="197"/>
      <c r="J420" s="197"/>
      <c r="K420" s="197"/>
      <c r="L420" s="197"/>
      <c r="M420" s="197"/>
      <c r="N420" s="197"/>
      <c r="O420" s="197"/>
      <c r="P420" s="197"/>
      <c r="Q420" s="197"/>
      <c r="R420" s="197"/>
      <c r="S420" s="197"/>
      <c r="T420" s="197"/>
    </row>
    <row r="421" ht="15.75" customHeight="1">
      <c r="E421" s="197"/>
      <c r="F421" s="197"/>
      <c r="G421" s="197"/>
      <c r="H421" s="197"/>
      <c r="I421" s="197"/>
      <c r="J421" s="197"/>
      <c r="K421" s="197"/>
      <c r="L421" s="197"/>
      <c r="M421" s="197"/>
      <c r="N421" s="197"/>
      <c r="O421" s="197"/>
      <c r="P421" s="197"/>
      <c r="Q421" s="197"/>
      <c r="R421" s="197"/>
      <c r="S421" s="197"/>
      <c r="T421" s="197"/>
    </row>
    <row r="422" ht="15.75" customHeight="1">
      <c r="E422" s="197"/>
      <c r="F422" s="197"/>
      <c r="G422" s="197"/>
      <c r="H422" s="197"/>
      <c r="I422" s="197"/>
      <c r="J422" s="197"/>
      <c r="K422" s="197"/>
      <c r="L422" s="197"/>
      <c r="M422" s="197"/>
      <c r="N422" s="197"/>
      <c r="O422" s="197"/>
      <c r="P422" s="197"/>
      <c r="Q422" s="197"/>
      <c r="R422" s="197"/>
      <c r="S422" s="197"/>
      <c r="T422" s="197"/>
    </row>
    <row r="423" ht="15.75" customHeight="1">
      <c r="E423" s="197"/>
      <c r="F423" s="197"/>
      <c r="G423" s="197"/>
      <c r="H423" s="197"/>
      <c r="I423" s="197"/>
      <c r="J423" s="197"/>
      <c r="K423" s="197"/>
      <c r="L423" s="197"/>
      <c r="M423" s="197"/>
      <c r="N423" s="197"/>
      <c r="O423" s="197"/>
      <c r="P423" s="197"/>
      <c r="Q423" s="197"/>
      <c r="R423" s="197"/>
      <c r="S423" s="197"/>
      <c r="T423" s="197"/>
    </row>
    <row r="424" ht="15.75" customHeight="1">
      <c r="E424" s="197"/>
      <c r="F424" s="197"/>
      <c r="G424" s="197"/>
      <c r="H424" s="197"/>
      <c r="I424" s="197"/>
      <c r="J424" s="197"/>
      <c r="K424" s="197"/>
      <c r="L424" s="197"/>
      <c r="M424" s="197"/>
      <c r="N424" s="197"/>
      <c r="O424" s="197"/>
      <c r="P424" s="197"/>
      <c r="Q424" s="197"/>
      <c r="R424" s="197"/>
      <c r="S424" s="197"/>
      <c r="T424" s="197"/>
    </row>
    <row r="425" ht="15.75" customHeight="1">
      <c r="E425" s="197"/>
      <c r="F425" s="197"/>
      <c r="G425" s="197"/>
      <c r="H425" s="197"/>
      <c r="I425" s="197"/>
      <c r="J425" s="197"/>
      <c r="K425" s="197"/>
      <c r="L425" s="197"/>
      <c r="M425" s="197"/>
      <c r="N425" s="197"/>
      <c r="O425" s="197"/>
      <c r="P425" s="197"/>
      <c r="Q425" s="197"/>
      <c r="R425" s="197"/>
      <c r="S425" s="197"/>
      <c r="T425" s="197"/>
    </row>
    <row r="426" ht="15.75" customHeight="1">
      <c r="E426" s="197"/>
      <c r="F426" s="197"/>
      <c r="G426" s="197"/>
      <c r="H426" s="197"/>
      <c r="I426" s="197"/>
      <c r="J426" s="197"/>
      <c r="K426" s="197"/>
      <c r="L426" s="197"/>
      <c r="M426" s="197"/>
      <c r="N426" s="197"/>
      <c r="O426" s="197"/>
      <c r="P426" s="197"/>
      <c r="Q426" s="197"/>
      <c r="R426" s="197"/>
      <c r="S426" s="197"/>
      <c r="T426" s="197"/>
    </row>
    <row r="427" ht="15.75" customHeight="1">
      <c r="E427" s="197"/>
      <c r="F427" s="197"/>
      <c r="G427" s="197"/>
      <c r="H427" s="197"/>
      <c r="I427" s="197"/>
      <c r="J427" s="197"/>
      <c r="K427" s="197"/>
      <c r="L427" s="197"/>
      <c r="M427" s="197"/>
      <c r="N427" s="197"/>
      <c r="O427" s="197"/>
      <c r="P427" s="197"/>
      <c r="Q427" s="197"/>
      <c r="R427" s="197"/>
      <c r="S427" s="197"/>
      <c r="T427" s="197"/>
    </row>
    <row r="428" ht="15.75" customHeight="1">
      <c r="E428" s="197"/>
      <c r="F428" s="197"/>
      <c r="G428" s="197"/>
      <c r="H428" s="197"/>
      <c r="I428" s="197"/>
      <c r="J428" s="197"/>
      <c r="K428" s="197"/>
      <c r="L428" s="197"/>
      <c r="M428" s="197"/>
      <c r="N428" s="197"/>
      <c r="O428" s="197"/>
      <c r="P428" s="197"/>
      <c r="Q428" s="197"/>
      <c r="R428" s="197"/>
      <c r="S428" s="197"/>
      <c r="T428" s="197"/>
    </row>
    <row r="429" ht="15.75" customHeight="1">
      <c r="E429" s="197"/>
      <c r="F429" s="197"/>
      <c r="G429" s="197"/>
      <c r="H429" s="197"/>
      <c r="I429" s="197"/>
      <c r="J429" s="197"/>
      <c r="K429" s="197"/>
      <c r="L429" s="197"/>
      <c r="M429" s="197"/>
      <c r="N429" s="197"/>
      <c r="O429" s="197"/>
      <c r="P429" s="197"/>
      <c r="Q429" s="197"/>
      <c r="R429" s="197"/>
      <c r="S429" s="197"/>
      <c r="T429" s="197"/>
    </row>
    <row r="430" ht="15.75" customHeight="1">
      <c r="E430" s="197"/>
      <c r="F430" s="197"/>
      <c r="G430" s="197"/>
      <c r="H430" s="197"/>
      <c r="I430" s="197"/>
      <c r="J430" s="197"/>
      <c r="K430" s="197"/>
      <c r="L430" s="197"/>
      <c r="M430" s="197"/>
      <c r="N430" s="197"/>
      <c r="O430" s="197"/>
      <c r="P430" s="197"/>
      <c r="Q430" s="197"/>
      <c r="R430" s="197"/>
      <c r="S430" s="197"/>
      <c r="T430" s="197"/>
    </row>
    <row r="431" ht="15.75" customHeight="1">
      <c r="E431" s="197"/>
      <c r="F431" s="197"/>
      <c r="G431" s="197"/>
      <c r="H431" s="197"/>
      <c r="I431" s="197"/>
      <c r="J431" s="197"/>
      <c r="K431" s="197"/>
      <c r="L431" s="197"/>
      <c r="M431" s="197"/>
      <c r="N431" s="197"/>
      <c r="O431" s="197"/>
      <c r="P431" s="197"/>
      <c r="Q431" s="197"/>
      <c r="R431" s="197"/>
      <c r="S431" s="197"/>
      <c r="T431" s="197"/>
    </row>
    <row r="432" ht="15.75" customHeight="1">
      <c r="E432" s="197"/>
      <c r="F432" s="197"/>
      <c r="G432" s="197"/>
      <c r="H432" s="197"/>
      <c r="I432" s="197"/>
      <c r="J432" s="197"/>
      <c r="K432" s="197"/>
      <c r="L432" s="197"/>
      <c r="M432" s="197"/>
      <c r="N432" s="197"/>
      <c r="O432" s="197"/>
      <c r="P432" s="197"/>
      <c r="Q432" s="197"/>
      <c r="R432" s="197"/>
      <c r="S432" s="197"/>
      <c r="T432" s="197"/>
    </row>
    <row r="433" ht="15.75" customHeight="1">
      <c r="E433" s="197"/>
      <c r="F433" s="197"/>
      <c r="G433" s="197"/>
      <c r="H433" s="197"/>
      <c r="I433" s="197"/>
      <c r="J433" s="197"/>
      <c r="K433" s="197"/>
      <c r="L433" s="197"/>
      <c r="M433" s="197"/>
      <c r="N433" s="197"/>
      <c r="O433" s="197"/>
      <c r="P433" s="197"/>
      <c r="Q433" s="197"/>
      <c r="R433" s="197"/>
      <c r="S433" s="197"/>
      <c r="T433" s="197"/>
    </row>
    <row r="434" ht="15.75" customHeight="1">
      <c r="E434" s="197"/>
      <c r="F434" s="197"/>
      <c r="G434" s="197"/>
      <c r="H434" s="197"/>
      <c r="I434" s="197"/>
      <c r="J434" s="197"/>
      <c r="K434" s="197"/>
      <c r="L434" s="197"/>
      <c r="M434" s="197"/>
      <c r="N434" s="197"/>
      <c r="O434" s="197"/>
      <c r="P434" s="197"/>
      <c r="Q434" s="197"/>
      <c r="R434" s="197"/>
      <c r="S434" s="197"/>
      <c r="T434" s="197"/>
    </row>
    <row r="435" ht="15.75" customHeight="1">
      <c r="E435" s="197"/>
      <c r="F435" s="197"/>
      <c r="G435" s="197"/>
      <c r="H435" s="197"/>
      <c r="I435" s="197"/>
      <c r="J435" s="197"/>
      <c r="K435" s="197"/>
      <c r="L435" s="197"/>
      <c r="M435" s="197"/>
      <c r="N435" s="197"/>
      <c r="O435" s="197"/>
      <c r="P435" s="197"/>
      <c r="Q435" s="197"/>
      <c r="R435" s="197"/>
      <c r="S435" s="197"/>
      <c r="T435" s="197"/>
    </row>
    <row r="436" ht="15.75" customHeight="1">
      <c r="E436" s="197"/>
      <c r="F436" s="197"/>
      <c r="G436" s="197"/>
      <c r="H436" s="197"/>
      <c r="I436" s="197"/>
      <c r="J436" s="197"/>
      <c r="K436" s="197"/>
      <c r="L436" s="197"/>
      <c r="M436" s="197"/>
      <c r="N436" s="197"/>
      <c r="O436" s="197"/>
      <c r="P436" s="197"/>
      <c r="Q436" s="197"/>
      <c r="R436" s="197"/>
      <c r="S436" s="197"/>
      <c r="T436" s="197"/>
    </row>
    <row r="437" ht="15.75" customHeight="1">
      <c r="E437" s="197"/>
      <c r="F437" s="197"/>
      <c r="G437" s="197"/>
      <c r="H437" s="197"/>
      <c r="I437" s="197"/>
      <c r="J437" s="197"/>
      <c r="K437" s="197"/>
      <c r="L437" s="197"/>
      <c r="M437" s="197"/>
      <c r="N437" s="197"/>
      <c r="O437" s="197"/>
      <c r="P437" s="197"/>
      <c r="Q437" s="197"/>
      <c r="R437" s="197"/>
      <c r="S437" s="197"/>
      <c r="T437" s="197"/>
    </row>
    <row r="438" ht="15.75" customHeight="1">
      <c r="E438" s="197"/>
      <c r="F438" s="197"/>
      <c r="G438" s="197"/>
      <c r="H438" s="197"/>
      <c r="I438" s="197"/>
      <c r="J438" s="197"/>
      <c r="K438" s="197"/>
      <c r="L438" s="197"/>
      <c r="M438" s="197"/>
      <c r="N438" s="197"/>
      <c r="O438" s="197"/>
      <c r="P438" s="197"/>
      <c r="Q438" s="197"/>
      <c r="R438" s="197"/>
      <c r="S438" s="197"/>
      <c r="T438" s="197"/>
    </row>
    <row r="439" ht="15.75" customHeight="1">
      <c r="E439" s="197"/>
      <c r="F439" s="197"/>
      <c r="G439" s="197"/>
      <c r="H439" s="197"/>
      <c r="I439" s="197"/>
      <c r="J439" s="197"/>
      <c r="K439" s="197"/>
      <c r="L439" s="197"/>
      <c r="M439" s="197"/>
      <c r="N439" s="197"/>
      <c r="O439" s="197"/>
      <c r="P439" s="197"/>
      <c r="Q439" s="197"/>
      <c r="R439" s="197"/>
      <c r="S439" s="197"/>
      <c r="T439" s="197"/>
    </row>
    <row r="440" ht="15.75" customHeight="1">
      <c r="E440" s="197"/>
      <c r="F440" s="197"/>
      <c r="G440" s="197"/>
      <c r="H440" s="197"/>
      <c r="I440" s="197"/>
      <c r="J440" s="197"/>
      <c r="K440" s="197"/>
      <c r="L440" s="197"/>
      <c r="M440" s="197"/>
      <c r="N440" s="197"/>
      <c r="O440" s="197"/>
      <c r="P440" s="197"/>
      <c r="Q440" s="197"/>
      <c r="R440" s="197"/>
      <c r="S440" s="197"/>
      <c r="T440" s="197"/>
    </row>
    <row r="441" ht="15.75" customHeight="1">
      <c r="E441" s="197"/>
      <c r="F441" s="197"/>
      <c r="G441" s="197"/>
      <c r="H441" s="197"/>
      <c r="I441" s="197"/>
      <c r="J441" s="197"/>
      <c r="K441" s="197"/>
      <c r="L441" s="197"/>
      <c r="M441" s="197"/>
      <c r="N441" s="197"/>
      <c r="O441" s="197"/>
      <c r="P441" s="197"/>
      <c r="Q441" s="197"/>
      <c r="R441" s="197"/>
      <c r="S441" s="197"/>
      <c r="T441" s="197"/>
    </row>
    <row r="442" ht="15.75" customHeight="1">
      <c r="E442" s="197"/>
      <c r="F442" s="197"/>
      <c r="G442" s="197"/>
      <c r="H442" s="197"/>
      <c r="I442" s="197"/>
      <c r="J442" s="197"/>
      <c r="K442" s="197"/>
      <c r="L442" s="197"/>
      <c r="M442" s="197"/>
      <c r="N442" s="197"/>
      <c r="O442" s="197"/>
      <c r="P442" s="197"/>
      <c r="Q442" s="197"/>
      <c r="R442" s="197"/>
      <c r="S442" s="197"/>
      <c r="T442" s="197"/>
    </row>
    <row r="443" ht="15.75" customHeight="1">
      <c r="E443" s="197"/>
      <c r="F443" s="197"/>
      <c r="G443" s="197"/>
      <c r="H443" s="197"/>
      <c r="I443" s="197"/>
      <c r="J443" s="197"/>
      <c r="K443" s="197"/>
      <c r="L443" s="197"/>
      <c r="M443" s="197"/>
      <c r="N443" s="197"/>
      <c r="O443" s="197"/>
      <c r="P443" s="197"/>
      <c r="Q443" s="197"/>
      <c r="R443" s="197"/>
      <c r="S443" s="197"/>
      <c r="T443" s="197"/>
    </row>
    <row r="444" ht="15.75" customHeight="1">
      <c r="E444" s="197"/>
      <c r="F444" s="197"/>
      <c r="G444" s="197"/>
      <c r="H444" s="197"/>
      <c r="I444" s="197"/>
      <c r="J444" s="197"/>
      <c r="K444" s="197"/>
      <c r="L444" s="197"/>
      <c r="M444" s="197"/>
      <c r="N444" s="197"/>
      <c r="O444" s="197"/>
      <c r="P444" s="197"/>
      <c r="Q444" s="197"/>
      <c r="R444" s="197"/>
      <c r="S444" s="197"/>
      <c r="T444" s="197"/>
    </row>
    <row r="445" ht="15.75" customHeight="1">
      <c r="E445" s="197"/>
      <c r="F445" s="197"/>
      <c r="G445" s="197"/>
      <c r="H445" s="197"/>
      <c r="I445" s="197"/>
      <c r="J445" s="197"/>
      <c r="K445" s="197"/>
      <c r="L445" s="197"/>
      <c r="M445" s="197"/>
      <c r="N445" s="197"/>
      <c r="O445" s="197"/>
      <c r="P445" s="197"/>
      <c r="Q445" s="197"/>
      <c r="R445" s="197"/>
      <c r="S445" s="197"/>
      <c r="T445" s="197"/>
    </row>
    <row r="446" ht="15.75" customHeight="1">
      <c r="E446" s="197"/>
      <c r="F446" s="197"/>
      <c r="G446" s="197"/>
      <c r="H446" s="197"/>
      <c r="I446" s="197"/>
      <c r="J446" s="197"/>
      <c r="K446" s="197"/>
      <c r="L446" s="197"/>
      <c r="M446" s="197"/>
      <c r="N446" s="197"/>
      <c r="O446" s="197"/>
      <c r="P446" s="197"/>
      <c r="Q446" s="197"/>
      <c r="R446" s="197"/>
      <c r="S446" s="197"/>
      <c r="T446" s="197"/>
    </row>
    <row r="447" ht="15.75" customHeight="1">
      <c r="E447" s="197"/>
      <c r="F447" s="197"/>
      <c r="G447" s="197"/>
      <c r="H447" s="197"/>
      <c r="I447" s="197"/>
      <c r="J447" s="197"/>
      <c r="K447" s="197"/>
      <c r="L447" s="197"/>
      <c r="M447" s="197"/>
      <c r="N447" s="197"/>
      <c r="O447" s="197"/>
      <c r="P447" s="197"/>
      <c r="Q447" s="197"/>
      <c r="R447" s="197"/>
      <c r="S447" s="197"/>
      <c r="T447" s="197"/>
    </row>
    <row r="448" ht="15.75" customHeight="1">
      <c r="E448" s="197"/>
      <c r="F448" s="197"/>
      <c r="G448" s="197"/>
      <c r="H448" s="197"/>
      <c r="I448" s="197"/>
      <c r="J448" s="197"/>
      <c r="K448" s="197"/>
      <c r="L448" s="197"/>
      <c r="M448" s="197"/>
      <c r="N448" s="197"/>
      <c r="O448" s="197"/>
      <c r="P448" s="197"/>
      <c r="Q448" s="197"/>
      <c r="R448" s="197"/>
      <c r="S448" s="197"/>
      <c r="T448" s="197"/>
    </row>
    <row r="449" ht="15.75" customHeight="1">
      <c r="E449" s="197"/>
      <c r="F449" s="197"/>
      <c r="G449" s="197"/>
      <c r="H449" s="197"/>
      <c r="I449" s="197"/>
      <c r="J449" s="197"/>
      <c r="K449" s="197"/>
      <c r="L449" s="197"/>
      <c r="M449" s="197"/>
      <c r="N449" s="197"/>
      <c r="O449" s="197"/>
      <c r="P449" s="197"/>
      <c r="Q449" s="197"/>
      <c r="R449" s="197"/>
      <c r="S449" s="197"/>
      <c r="T449" s="197"/>
    </row>
    <row r="450" ht="15.75" customHeight="1">
      <c r="E450" s="197"/>
      <c r="F450" s="197"/>
      <c r="G450" s="197"/>
      <c r="H450" s="197"/>
      <c r="I450" s="197"/>
      <c r="J450" s="197"/>
      <c r="K450" s="197"/>
      <c r="L450" s="197"/>
      <c r="M450" s="197"/>
      <c r="N450" s="197"/>
      <c r="O450" s="197"/>
      <c r="P450" s="197"/>
      <c r="Q450" s="197"/>
      <c r="R450" s="197"/>
      <c r="S450" s="197"/>
      <c r="T450" s="197"/>
    </row>
    <row r="451" ht="15.75" customHeight="1">
      <c r="E451" s="197"/>
      <c r="F451" s="197"/>
      <c r="G451" s="197"/>
      <c r="H451" s="197"/>
      <c r="I451" s="197"/>
      <c r="J451" s="197"/>
      <c r="K451" s="197"/>
      <c r="L451" s="197"/>
      <c r="M451" s="197"/>
      <c r="N451" s="197"/>
      <c r="O451" s="197"/>
      <c r="P451" s="197"/>
      <c r="Q451" s="197"/>
      <c r="R451" s="197"/>
      <c r="S451" s="197"/>
      <c r="T451" s="197"/>
    </row>
    <row r="452" ht="15.75" customHeight="1">
      <c r="E452" s="197"/>
      <c r="F452" s="197"/>
      <c r="G452" s="197"/>
      <c r="H452" s="197"/>
      <c r="I452" s="197"/>
      <c r="J452" s="197"/>
      <c r="K452" s="197"/>
      <c r="L452" s="197"/>
      <c r="M452" s="197"/>
      <c r="N452" s="197"/>
      <c r="O452" s="197"/>
      <c r="P452" s="197"/>
      <c r="Q452" s="197"/>
      <c r="R452" s="197"/>
      <c r="S452" s="197"/>
      <c r="T452" s="197"/>
    </row>
    <row r="453" ht="15.75" customHeight="1">
      <c r="E453" s="197"/>
      <c r="F453" s="197"/>
      <c r="G453" s="197"/>
      <c r="H453" s="197"/>
      <c r="I453" s="197"/>
      <c r="J453" s="197"/>
      <c r="K453" s="197"/>
      <c r="L453" s="197"/>
      <c r="M453" s="197"/>
      <c r="N453" s="197"/>
      <c r="O453" s="197"/>
      <c r="P453" s="197"/>
      <c r="Q453" s="197"/>
      <c r="R453" s="197"/>
      <c r="S453" s="197"/>
      <c r="T453" s="197"/>
    </row>
    <row r="454" ht="15.75" customHeight="1">
      <c r="E454" s="197"/>
      <c r="F454" s="197"/>
      <c r="G454" s="197"/>
      <c r="H454" s="197"/>
      <c r="I454" s="197"/>
      <c r="J454" s="197"/>
      <c r="K454" s="197"/>
      <c r="L454" s="197"/>
      <c r="M454" s="197"/>
      <c r="N454" s="197"/>
      <c r="O454" s="197"/>
      <c r="P454" s="197"/>
      <c r="Q454" s="197"/>
      <c r="R454" s="197"/>
      <c r="S454" s="197"/>
      <c r="T454" s="197"/>
    </row>
    <row r="455" ht="15.75" customHeight="1">
      <c r="E455" s="197"/>
      <c r="F455" s="197"/>
      <c r="G455" s="197"/>
      <c r="H455" s="197"/>
      <c r="I455" s="197"/>
      <c r="J455" s="197"/>
      <c r="K455" s="197"/>
      <c r="L455" s="197"/>
      <c r="M455" s="197"/>
      <c r="N455" s="197"/>
      <c r="O455" s="197"/>
      <c r="P455" s="197"/>
      <c r="Q455" s="197"/>
      <c r="R455" s="197"/>
      <c r="S455" s="197"/>
      <c r="T455" s="197"/>
    </row>
    <row r="456" ht="15.75" customHeight="1">
      <c r="E456" s="197"/>
      <c r="F456" s="197"/>
      <c r="G456" s="197"/>
      <c r="H456" s="197"/>
      <c r="I456" s="197"/>
      <c r="J456" s="197"/>
      <c r="K456" s="197"/>
      <c r="L456" s="197"/>
      <c r="M456" s="197"/>
      <c r="N456" s="197"/>
      <c r="O456" s="197"/>
      <c r="P456" s="197"/>
      <c r="Q456" s="197"/>
      <c r="R456" s="197"/>
      <c r="S456" s="197"/>
      <c r="T456" s="197"/>
    </row>
    <row r="457" ht="15.75" customHeight="1">
      <c r="E457" s="197"/>
      <c r="F457" s="197"/>
      <c r="G457" s="197"/>
      <c r="H457" s="197"/>
      <c r="I457" s="197"/>
      <c r="J457" s="197"/>
      <c r="K457" s="197"/>
      <c r="L457" s="197"/>
      <c r="M457" s="197"/>
      <c r="N457" s="197"/>
      <c r="O457" s="197"/>
      <c r="P457" s="197"/>
      <c r="Q457" s="197"/>
      <c r="R457" s="197"/>
      <c r="S457" s="197"/>
      <c r="T457" s="197"/>
    </row>
    <row r="458" ht="15.75" customHeight="1">
      <c r="E458" s="197"/>
      <c r="F458" s="197"/>
      <c r="G458" s="197"/>
      <c r="H458" s="197"/>
      <c r="I458" s="197"/>
      <c r="J458" s="197"/>
      <c r="K458" s="197"/>
      <c r="L458" s="197"/>
      <c r="M458" s="197"/>
      <c r="N458" s="197"/>
      <c r="O458" s="197"/>
      <c r="P458" s="197"/>
      <c r="Q458" s="197"/>
      <c r="R458" s="197"/>
      <c r="S458" s="197"/>
      <c r="T458" s="197"/>
    </row>
    <row r="459" ht="15.75" customHeight="1">
      <c r="E459" s="197"/>
      <c r="F459" s="197"/>
      <c r="G459" s="197"/>
      <c r="H459" s="197"/>
      <c r="I459" s="197"/>
      <c r="J459" s="197"/>
      <c r="K459" s="197"/>
      <c r="L459" s="197"/>
      <c r="M459" s="197"/>
      <c r="N459" s="197"/>
      <c r="O459" s="197"/>
      <c r="P459" s="197"/>
      <c r="Q459" s="197"/>
      <c r="R459" s="197"/>
      <c r="S459" s="197"/>
      <c r="T459" s="197"/>
    </row>
    <row r="460" ht="15.75" customHeight="1">
      <c r="E460" s="197"/>
      <c r="F460" s="197"/>
      <c r="G460" s="197"/>
      <c r="H460" s="197"/>
      <c r="I460" s="197"/>
      <c r="J460" s="197"/>
      <c r="K460" s="197"/>
      <c r="L460" s="197"/>
      <c r="M460" s="197"/>
      <c r="N460" s="197"/>
      <c r="O460" s="197"/>
      <c r="P460" s="197"/>
      <c r="Q460" s="197"/>
      <c r="R460" s="197"/>
      <c r="S460" s="197"/>
      <c r="T460" s="197"/>
    </row>
    <row r="461" ht="15.75" customHeight="1">
      <c r="E461" s="197"/>
      <c r="F461" s="197"/>
      <c r="G461" s="197"/>
      <c r="H461" s="197"/>
      <c r="I461" s="197"/>
      <c r="J461" s="197"/>
      <c r="K461" s="197"/>
      <c r="L461" s="197"/>
      <c r="M461" s="197"/>
      <c r="N461" s="197"/>
      <c r="O461" s="197"/>
      <c r="P461" s="197"/>
      <c r="Q461" s="197"/>
      <c r="R461" s="197"/>
      <c r="S461" s="197"/>
      <c r="T461" s="197"/>
    </row>
    <row r="462" ht="15.75" customHeight="1">
      <c r="E462" s="197"/>
      <c r="F462" s="197"/>
      <c r="G462" s="197"/>
      <c r="H462" s="197"/>
      <c r="I462" s="197"/>
      <c r="J462" s="197"/>
      <c r="K462" s="197"/>
      <c r="L462" s="197"/>
      <c r="M462" s="197"/>
      <c r="N462" s="197"/>
      <c r="O462" s="197"/>
      <c r="P462" s="197"/>
      <c r="Q462" s="197"/>
      <c r="R462" s="197"/>
      <c r="S462" s="197"/>
      <c r="T462" s="197"/>
    </row>
    <row r="463" ht="15.75" customHeight="1">
      <c r="E463" s="197"/>
      <c r="F463" s="197"/>
      <c r="G463" s="197"/>
      <c r="H463" s="197"/>
      <c r="I463" s="197"/>
      <c r="J463" s="197"/>
      <c r="K463" s="197"/>
      <c r="L463" s="197"/>
      <c r="M463" s="197"/>
      <c r="N463" s="197"/>
      <c r="O463" s="197"/>
      <c r="P463" s="197"/>
      <c r="Q463" s="197"/>
      <c r="R463" s="197"/>
      <c r="S463" s="197"/>
      <c r="T463" s="197"/>
    </row>
    <row r="464" ht="15.75" customHeight="1">
      <c r="E464" s="197"/>
      <c r="F464" s="197"/>
      <c r="G464" s="197"/>
      <c r="H464" s="197"/>
      <c r="I464" s="197"/>
      <c r="J464" s="197"/>
      <c r="K464" s="197"/>
      <c r="L464" s="197"/>
      <c r="M464" s="197"/>
      <c r="N464" s="197"/>
      <c r="O464" s="197"/>
      <c r="P464" s="197"/>
      <c r="Q464" s="197"/>
      <c r="R464" s="197"/>
      <c r="S464" s="197"/>
      <c r="T464" s="197"/>
    </row>
    <row r="465" ht="15.75" customHeight="1">
      <c r="E465" s="197"/>
      <c r="F465" s="197"/>
      <c r="G465" s="197"/>
      <c r="H465" s="197"/>
      <c r="I465" s="197"/>
      <c r="J465" s="197"/>
      <c r="K465" s="197"/>
      <c r="L465" s="197"/>
      <c r="M465" s="197"/>
      <c r="N465" s="197"/>
      <c r="O465" s="197"/>
      <c r="P465" s="197"/>
      <c r="Q465" s="197"/>
      <c r="R465" s="197"/>
      <c r="S465" s="197"/>
      <c r="T465" s="197"/>
    </row>
    <row r="466" ht="15.75" customHeight="1">
      <c r="E466" s="197"/>
      <c r="F466" s="197"/>
      <c r="G466" s="197"/>
      <c r="H466" s="197"/>
      <c r="I466" s="197"/>
      <c r="J466" s="197"/>
      <c r="K466" s="197"/>
      <c r="L466" s="197"/>
      <c r="M466" s="197"/>
      <c r="N466" s="197"/>
      <c r="O466" s="197"/>
      <c r="P466" s="197"/>
      <c r="Q466" s="197"/>
      <c r="R466" s="197"/>
      <c r="S466" s="197"/>
      <c r="T466" s="197"/>
    </row>
    <row r="467" ht="15.75" customHeight="1">
      <c r="E467" s="197"/>
      <c r="F467" s="197"/>
      <c r="G467" s="197"/>
      <c r="H467" s="197"/>
      <c r="I467" s="197"/>
      <c r="J467" s="197"/>
      <c r="K467" s="197"/>
      <c r="L467" s="197"/>
      <c r="M467" s="197"/>
      <c r="N467" s="197"/>
      <c r="O467" s="197"/>
      <c r="P467" s="197"/>
      <c r="Q467" s="197"/>
      <c r="R467" s="197"/>
      <c r="S467" s="197"/>
      <c r="T467" s="197"/>
    </row>
    <row r="468" ht="15.75" customHeight="1">
      <c r="E468" s="197"/>
      <c r="F468" s="197"/>
      <c r="G468" s="197"/>
      <c r="H468" s="197"/>
      <c r="I468" s="197"/>
      <c r="J468" s="197"/>
      <c r="K468" s="197"/>
      <c r="L468" s="197"/>
      <c r="M468" s="197"/>
      <c r="N468" s="197"/>
      <c r="O468" s="197"/>
      <c r="P468" s="197"/>
      <c r="Q468" s="197"/>
      <c r="R468" s="197"/>
      <c r="S468" s="197"/>
      <c r="T468" s="197"/>
    </row>
    <row r="469" ht="15.75" customHeight="1">
      <c r="E469" s="197"/>
      <c r="F469" s="197"/>
      <c r="G469" s="197"/>
      <c r="H469" s="197"/>
      <c r="I469" s="197"/>
      <c r="J469" s="197"/>
      <c r="K469" s="197"/>
      <c r="L469" s="197"/>
      <c r="M469" s="197"/>
      <c r="N469" s="197"/>
      <c r="O469" s="197"/>
      <c r="P469" s="197"/>
      <c r="Q469" s="197"/>
      <c r="R469" s="197"/>
      <c r="S469" s="197"/>
      <c r="T469" s="197"/>
    </row>
    <row r="470" ht="15.75" customHeight="1">
      <c r="E470" s="197"/>
      <c r="F470" s="197"/>
      <c r="G470" s="197"/>
      <c r="H470" s="197"/>
      <c r="I470" s="197"/>
      <c r="J470" s="197"/>
      <c r="K470" s="197"/>
      <c r="L470" s="197"/>
      <c r="M470" s="197"/>
      <c r="N470" s="197"/>
      <c r="O470" s="197"/>
      <c r="P470" s="197"/>
      <c r="Q470" s="197"/>
      <c r="R470" s="197"/>
      <c r="S470" s="197"/>
      <c r="T470" s="197"/>
    </row>
    <row r="471" ht="15.75" customHeight="1">
      <c r="E471" s="197"/>
      <c r="F471" s="197"/>
      <c r="G471" s="197"/>
      <c r="H471" s="197"/>
      <c r="I471" s="197"/>
      <c r="J471" s="197"/>
      <c r="K471" s="197"/>
      <c r="L471" s="197"/>
      <c r="M471" s="197"/>
      <c r="N471" s="197"/>
      <c r="O471" s="197"/>
      <c r="P471" s="197"/>
      <c r="Q471" s="197"/>
      <c r="R471" s="197"/>
      <c r="S471" s="197"/>
      <c r="T471" s="197"/>
    </row>
    <row r="472" ht="15.75" customHeight="1">
      <c r="E472" s="197"/>
      <c r="F472" s="197"/>
      <c r="G472" s="197"/>
      <c r="H472" s="197"/>
      <c r="I472" s="197"/>
      <c r="J472" s="197"/>
      <c r="K472" s="197"/>
      <c r="L472" s="197"/>
      <c r="M472" s="197"/>
      <c r="N472" s="197"/>
      <c r="O472" s="197"/>
      <c r="P472" s="197"/>
      <c r="Q472" s="197"/>
      <c r="R472" s="197"/>
      <c r="S472" s="197"/>
      <c r="T472" s="197"/>
    </row>
    <row r="473" ht="15.75" customHeight="1">
      <c r="E473" s="197"/>
      <c r="F473" s="197"/>
      <c r="G473" s="197"/>
      <c r="H473" s="197"/>
      <c r="I473" s="197"/>
      <c r="J473" s="197"/>
      <c r="K473" s="197"/>
      <c r="L473" s="197"/>
      <c r="M473" s="197"/>
      <c r="N473" s="197"/>
      <c r="O473" s="197"/>
      <c r="P473" s="197"/>
      <c r="Q473" s="197"/>
      <c r="R473" s="197"/>
      <c r="S473" s="197"/>
      <c r="T473" s="197"/>
    </row>
    <row r="474" ht="15.75" customHeight="1">
      <c r="E474" s="197"/>
      <c r="F474" s="197"/>
      <c r="G474" s="197"/>
      <c r="H474" s="197"/>
      <c r="I474" s="197"/>
      <c r="J474" s="197"/>
      <c r="K474" s="197"/>
      <c r="L474" s="197"/>
      <c r="M474" s="197"/>
      <c r="N474" s="197"/>
      <c r="O474" s="197"/>
      <c r="P474" s="197"/>
      <c r="Q474" s="197"/>
      <c r="R474" s="197"/>
      <c r="S474" s="197"/>
      <c r="T474" s="197"/>
    </row>
    <row r="475" ht="15.75" customHeight="1">
      <c r="E475" s="197"/>
      <c r="F475" s="197"/>
      <c r="G475" s="197"/>
      <c r="H475" s="197"/>
      <c r="I475" s="197"/>
      <c r="J475" s="197"/>
      <c r="K475" s="197"/>
      <c r="L475" s="197"/>
      <c r="M475" s="197"/>
      <c r="N475" s="197"/>
      <c r="O475" s="197"/>
      <c r="P475" s="197"/>
      <c r="Q475" s="197"/>
      <c r="R475" s="197"/>
      <c r="S475" s="197"/>
      <c r="T475" s="197"/>
    </row>
    <row r="476" ht="15.75" customHeight="1">
      <c r="E476" s="197"/>
      <c r="F476" s="197"/>
      <c r="G476" s="197"/>
      <c r="H476" s="197"/>
      <c r="I476" s="197"/>
      <c r="J476" s="197"/>
      <c r="K476" s="197"/>
      <c r="L476" s="197"/>
      <c r="M476" s="197"/>
      <c r="N476" s="197"/>
      <c r="O476" s="197"/>
      <c r="P476" s="197"/>
      <c r="Q476" s="197"/>
      <c r="R476" s="197"/>
      <c r="S476" s="197"/>
      <c r="T476" s="197"/>
    </row>
    <row r="477" ht="15.75" customHeight="1">
      <c r="E477" s="197"/>
      <c r="F477" s="197"/>
      <c r="G477" s="197"/>
      <c r="H477" s="197"/>
      <c r="I477" s="197"/>
      <c r="J477" s="197"/>
      <c r="K477" s="197"/>
      <c r="L477" s="197"/>
      <c r="M477" s="197"/>
      <c r="N477" s="197"/>
      <c r="O477" s="197"/>
      <c r="P477" s="197"/>
      <c r="Q477" s="197"/>
      <c r="R477" s="197"/>
      <c r="S477" s="197"/>
      <c r="T477" s="197"/>
    </row>
    <row r="478" ht="15.75" customHeight="1">
      <c r="E478" s="197"/>
      <c r="F478" s="197"/>
      <c r="G478" s="197"/>
      <c r="H478" s="197"/>
      <c r="I478" s="197"/>
      <c r="J478" s="197"/>
      <c r="K478" s="197"/>
      <c r="L478" s="197"/>
      <c r="M478" s="197"/>
      <c r="N478" s="197"/>
      <c r="O478" s="197"/>
      <c r="P478" s="197"/>
      <c r="Q478" s="197"/>
      <c r="R478" s="197"/>
      <c r="S478" s="197"/>
      <c r="T478" s="197"/>
    </row>
    <row r="479" ht="15.75" customHeight="1">
      <c r="E479" s="197"/>
      <c r="F479" s="197"/>
      <c r="G479" s="197"/>
      <c r="H479" s="197"/>
      <c r="I479" s="197"/>
      <c r="J479" s="197"/>
      <c r="K479" s="197"/>
      <c r="L479" s="197"/>
      <c r="M479" s="197"/>
      <c r="N479" s="197"/>
      <c r="O479" s="197"/>
      <c r="P479" s="197"/>
      <c r="Q479" s="197"/>
      <c r="R479" s="197"/>
      <c r="S479" s="197"/>
      <c r="T479" s="197"/>
    </row>
    <row r="480" ht="15.75" customHeight="1">
      <c r="E480" s="197"/>
      <c r="F480" s="197"/>
      <c r="G480" s="197"/>
      <c r="H480" s="197"/>
      <c r="I480" s="197"/>
      <c r="J480" s="197"/>
      <c r="K480" s="197"/>
      <c r="L480" s="197"/>
      <c r="M480" s="197"/>
      <c r="N480" s="197"/>
      <c r="O480" s="197"/>
      <c r="P480" s="197"/>
      <c r="Q480" s="197"/>
      <c r="R480" s="197"/>
      <c r="S480" s="197"/>
      <c r="T480" s="197"/>
    </row>
    <row r="481" ht="15.75" customHeight="1">
      <c r="E481" s="197"/>
      <c r="F481" s="197"/>
      <c r="G481" s="197"/>
      <c r="H481" s="197"/>
      <c r="I481" s="197"/>
      <c r="J481" s="197"/>
      <c r="K481" s="197"/>
      <c r="L481" s="197"/>
      <c r="M481" s="197"/>
      <c r="N481" s="197"/>
      <c r="O481" s="197"/>
      <c r="P481" s="197"/>
      <c r="Q481" s="197"/>
      <c r="R481" s="197"/>
      <c r="S481" s="197"/>
      <c r="T481" s="197"/>
    </row>
    <row r="482" ht="15.75" customHeight="1">
      <c r="E482" s="197"/>
      <c r="F482" s="197"/>
      <c r="G482" s="197"/>
      <c r="H482" s="197"/>
      <c r="I482" s="197"/>
      <c r="J482" s="197"/>
      <c r="K482" s="197"/>
      <c r="L482" s="197"/>
      <c r="M482" s="197"/>
      <c r="N482" s="197"/>
      <c r="O482" s="197"/>
      <c r="P482" s="197"/>
      <c r="Q482" s="197"/>
      <c r="R482" s="197"/>
      <c r="S482" s="197"/>
      <c r="T482" s="197"/>
    </row>
    <row r="483" ht="15.75" customHeight="1">
      <c r="E483" s="197"/>
      <c r="F483" s="197"/>
      <c r="G483" s="197"/>
      <c r="H483" s="197"/>
      <c r="I483" s="197"/>
      <c r="J483" s="197"/>
      <c r="K483" s="197"/>
      <c r="L483" s="197"/>
      <c r="M483" s="197"/>
      <c r="N483" s="197"/>
      <c r="O483" s="197"/>
      <c r="P483" s="197"/>
      <c r="Q483" s="197"/>
      <c r="R483" s="197"/>
      <c r="S483" s="197"/>
      <c r="T483" s="197"/>
    </row>
    <row r="484" ht="15.75" customHeight="1">
      <c r="E484" s="197"/>
      <c r="F484" s="197"/>
      <c r="G484" s="197"/>
      <c r="H484" s="197"/>
      <c r="I484" s="197"/>
      <c r="J484" s="197"/>
      <c r="K484" s="197"/>
      <c r="L484" s="197"/>
      <c r="M484" s="197"/>
      <c r="N484" s="197"/>
      <c r="O484" s="197"/>
      <c r="P484" s="197"/>
      <c r="Q484" s="197"/>
      <c r="R484" s="197"/>
      <c r="S484" s="197"/>
      <c r="T484" s="197"/>
    </row>
    <row r="485" ht="15.75" customHeight="1">
      <c r="E485" s="197"/>
      <c r="F485" s="197"/>
      <c r="G485" s="197"/>
      <c r="H485" s="197"/>
      <c r="I485" s="197"/>
      <c r="J485" s="197"/>
      <c r="K485" s="197"/>
      <c r="L485" s="197"/>
      <c r="M485" s="197"/>
      <c r="N485" s="197"/>
      <c r="O485" s="197"/>
      <c r="P485" s="197"/>
      <c r="Q485" s="197"/>
      <c r="R485" s="197"/>
      <c r="S485" s="197"/>
      <c r="T485" s="197"/>
    </row>
    <row r="486" ht="15.75" customHeight="1">
      <c r="E486" s="197"/>
      <c r="F486" s="197"/>
      <c r="G486" s="197"/>
      <c r="H486" s="197"/>
      <c r="I486" s="197"/>
      <c r="J486" s="197"/>
      <c r="K486" s="197"/>
      <c r="L486" s="197"/>
      <c r="M486" s="197"/>
      <c r="N486" s="197"/>
      <c r="O486" s="197"/>
      <c r="P486" s="197"/>
      <c r="Q486" s="197"/>
      <c r="R486" s="197"/>
      <c r="S486" s="197"/>
      <c r="T486" s="197"/>
    </row>
    <row r="487" ht="15.75" customHeight="1">
      <c r="E487" s="197"/>
      <c r="F487" s="197"/>
      <c r="G487" s="197"/>
      <c r="H487" s="197"/>
      <c r="I487" s="197"/>
      <c r="J487" s="197"/>
      <c r="K487" s="197"/>
      <c r="L487" s="197"/>
      <c r="M487" s="197"/>
      <c r="N487" s="197"/>
      <c r="O487" s="197"/>
      <c r="P487" s="197"/>
      <c r="Q487" s="197"/>
      <c r="R487" s="197"/>
      <c r="S487" s="197"/>
      <c r="T487" s="197"/>
    </row>
    <row r="488" ht="15.75" customHeight="1">
      <c r="E488" s="197"/>
      <c r="F488" s="197"/>
      <c r="G488" s="197"/>
      <c r="H488" s="197"/>
      <c r="I488" s="197"/>
      <c r="J488" s="197"/>
      <c r="K488" s="197"/>
      <c r="L488" s="197"/>
      <c r="M488" s="197"/>
      <c r="N488" s="197"/>
      <c r="O488" s="197"/>
      <c r="P488" s="197"/>
      <c r="Q488" s="197"/>
      <c r="R488" s="197"/>
      <c r="S488" s="197"/>
      <c r="T488" s="197"/>
    </row>
    <row r="489" ht="15.75" customHeight="1">
      <c r="E489" s="197"/>
      <c r="F489" s="197"/>
      <c r="G489" s="197"/>
      <c r="H489" s="197"/>
      <c r="I489" s="197"/>
      <c r="J489" s="197"/>
      <c r="K489" s="197"/>
      <c r="L489" s="197"/>
      <c r="M489" s="197"/>
      <c r="N489" s="197"/>
      <c r="O489" s="197"/>
      <c r="P489" s="197"/>
      <c r="Q489" s="197"/>
      <c r="R489" s="197"/>
      <c r="S489" s="197"/>
      <c r="T489" s="197"/>
    </row>
    <row r="490" ht="15.75" customHeight="1">
      <c r="E490" s="197"/>
      <c r="F490" s="197"/>
      <c r="G490" s="197"/>
      <c r="H490" s="197"/>
      <c r="I490" s="197"/>
      <c r="J490" s="197"/>
      <c r="K490" s="197"/>
      <c r="L490" s="197"/>
      <c r="M490" s="197"/>
      <c r="N490" s="197"/>
      <c r="O490" s="197"/>
      <c r="P490" s="197"/>
      <c r="Q490" s="197"/>
      <c r="R490" s="197"/>
      <c r="S490" s="197"/>
      <c r="T490" s="197"/>
    </row>
    <row r="491" ht="15.75" customHeight="1">
      <c r="E491" s="197"/>
      <c r="F491" s="197"/>
      <c r="G491" s="197"/>
      <c r="H491" s="197"/>
      <c r="I491" s="197"/>
      <c r="J491" s="197"/>
      <c r="K491" s="197"/>
      <c r="L491" s="197"/>
      <c r="M491" s="197"/>
      <c r="N491" s="197"/>
      <c r="O491" s="197"/>
      <c r="P491" s="197"/>
      <c r="Q491" s="197"/>
      <c r="R491" s="197"/>
      <c r="S491" s="197"/>
      <c r="T491" s="197"/>
    </row>
    <row r="492" ht="15.75" customHeight="1">
      <c r="E492" s="197"/>
      <c r="F492" s="197"/>
      <c r="G492" s="197"/>
      <c r="H492" s="197"/>
      <c r="I492" s="197"/>
      <c r="J492" s="197"/>
      <c r="K492" s="197"/>
      <c r="L492" s="197"/>
      <c r="M492" s="197"/>
      <c r="N492" s="197"/>
      <c r="O492" s="197"/>
      <c r="P492" s="197"/>
      <c r="Q492" s="197"/>
      <c r="R492" s="197"/>
      <c r="S492" s="197"/>
      <c r="T492" s="197"/>
    </row>
    <row r="493" ht="15.75" customHeight="1">
      <c r="E493" s="197"/>
      <c r="F493" s="197"/>
      <c r="G493" s="197"/>
      <c r="H493" s="197"/>
      <c r="I493" s="197"/>
      <c r="J493" s="197"/>
      <c r="K493" s="197"/>
      <c r="L493" s="197"/>
      <c r="M493" s="197"/>
      <c r="N493" s="197"/>
      <c r="O493" s="197"/>
      <c r="P493" s="197"/>
      <c r="Q493" s="197"/>
      <c r="R493" s="197"/>
      <c r="S493" s="197"/>
      <c r="T493" s="197"/>
    </row>
    <row r="494" ht="15.75" customHeight="1">
      <c r="E494" s="197"/>
      <c r="F494" s="197"/>
      <c r="G494" s="197"/>
      <c r="H494" s="197"/>
      <c r="I494" s="197"/>
      <c r="J494" s="197"/>
      <c r="K494" s="197"/>
      <c r="L494" s="197"/>
      <c r="M494" s="197"/>
      <c r="N494" s="197"/>
      <c r="O494" s="197"/>
      <c r="P494" s="197"/>
      <c r="Q494" s="197"/>
      <c r="R494" s="197"/>
      <c r="S494" s="197"/>
      <c r="T494" s="197"/>
    </row>
    <row r="495" ht="15.75" customHeight="1">
      <c r="E495" s="197"/>
      <c r="F495" s="197"/>
      <c r="G495" s="197"/>
      <c r="H495" s="197"/>
      <c r="I495" s="197"/>
      <c r="J495" s="197"/>
      <c r="K495" s="197"/>
      <c r="L495" s="197"/>
      <c r="M495" s="197"/>
      <c r="N495" s="197"/>
      <c r="O495" s="197"/>
      <c r="P495" s="197"/>
      <c r="Q495" s="197"/>
      <c r="R495" s="197"/>
      <c r="S495" s="197"/>
      <c r="T495" s="197"/>
    </row>
    <row r="496" ht="15.75" customHeight="1">
      <c r="E496" s="197"/>
      <c r="F496" s="197"/>
      <c r="G496" s="197"/>
      <c r="H496" s="197"/>
      <c r="I496" s="197"/>
      <c r="J496" s="197"/>
      <c r="K496" s="197"/>
      <c r="L496" s="197"/>
      <c r="M496" s="197"/>
      <c r="N496" s="197"/>
      <c r="O496" s="197"/>
      <c r="P496" s="197"/>
      <c r="Q496" s="197"/>
      <c r="R496" s="197"/>
      <c r="S496" s="197"/>
      <c r="T496" s="197"/>
    </row>
    <row r="497" ht="15.75" customHeight="1">
      <c r="E497" s="197"/>
      <c r="F497" s="197"/>
      <c r="G497" s="197"/>
      <c r="H497" s="197"/>
      <c r="I497" s="197"/>
      <c r="J497" s="197"/>
      <c r="K497" s="197"/>
      <c r="L497" s="197"/>
      <c r="M497" s="197"/>
      <c r="N497" s="197"/>
      <c r="O497" s="197"/>
      <c r="P497" s="197"/>
      <c r="Q497" s="197"/>
      <c r="R497" s="197"/>
      <c r="S497" s="197"/>
      <c r="T497" s="197"/>
    </row>
    <row r="498" ht="15.75" customHeight="1">
      <c r="E498" s="197"/>
      <c r="F498" s="197"/>
      <c r="G498" s="197"/>
      <c r="H498" s="197"/>
      <c r="I498" s="197"/>
      <c r="J498" s="197"/>
      <c r="K498" s="197"/>
      <c r="L498" s="197"/>
      <c r="M498" s="197"/>
      <c r="N498" s="197"/>
      <c r="O498" s="197"/>
      <c r="P498" s="197"/>
      <c r="Q498" s="197"/>
      <c r="R498" s="197"/>
      <c r="S498" s="197"/>
      <c r="T498" s="197"/>
    </row>
    <row r="499" ht="15.75" customHeight="1">
      <c r="E499" s="197"/>
      <c r="F499" s="197"/>
      <c r="G499" s="197"/>
      <c r="H499" s="197"/>
      <c r="I499" s="197"/>
      <c r="J499" s="197"/>
      <c r="K499" s="197"/>
      <c r="L499" s="197"/>
      <c r="M499" s="197"/>
      <c r="N499" s="197"/>
      <c r="O499" s="197"/>
      <c r="P499" s="197"/>
      <c r="Q499" s="197"/>
      <c r="R499" s="197"/>
      <c r="S499" s="197"/>
      <c r="T499" s="197"/>
    </row>
    <row r="500" ht="15.75" customHeight="1">
      <c r="E500" s="197"/>
      <c r="F500" s="197"/>
      <c r="G500" s="197"/>
      <c r="H500" s="197"/>
      <c r="I500" s="197"/>
      <c r="J500" s="197"/>
      <c r="K500" s="197"/>
      <c r="L500" s="197"/>
      <c r="M500" s="197"/>
      <c r="N500" s="197"/>
      <c r="O500" s="197"/>
      <c r="P500" s="197"/>
      <c r="Q500" s="197"/>
      <c r="R500" s="197"/>
      <c r="S500" s="197"/>
      <c r="T500" s="197"/>
    </row>
    <row r="501" ht="15.75" customHeight="1">
      <c r="E501" s="197"/>
      <c r="F501" s="197"/>
      <c r="G501" s="197"/>
      <c r="H501" s="197"/>
      <c r="I501" s="197"/>
      <c r="J501" s="197"/>
      <c r="K501" s="197"/>
      <c r="L501" s="197"/>
      <c r="M501" s="197"/>
      <c r="N501" s="197"/>
      <c r="O501" s="197"/>
      <c r="P501" s="197"/>
      <c r="Q501" s="197"/>
      <c r="R501" s="197"/>
      <c r="S501" s="197"/>
      <c r="T501" s="197"/>
    </row>
    <row r="502" ht="15.75" customHeight="1">
      <c r="E502" s="197"/>
      <c r="F502" s="197"/>
      <c r="G502" s="197"/>
      <c r="H502" s="197"/>
      <c r="I502" s="197"/>
      <c r="J502" s="197"/>
      <c r="K502" s="197"/>
      <c r="L502" s="197"/>
      <c r="M502" s="197"/>
      <c r="N502" s="197"/>
      <c r="O502" s="197"/>
      <c r="P502" s="197"/>
      <c r="Q502" s="197"/>
      <c r="R502" s="197"/>
      <c r="S502" s="197"/>
      <c r="T502" s="197"/>
    </row>
    <row r="503" ht="15.75" customHeight="1">
      <c r="E503" s="197"/>
      <c r="F503" s="197"/>
      <c r="G503" s="197"/>
      <c r="H503" s="197"/>
      <c r="I503" s="197"/>
      <c r="J503" s="197"/>
      <c r="K503" s="197"/>
      <c r="L503" s="197"/>
      <c r="M503" s="197"/>
      <c r="N503" s="197"/>
      <c r="O503" s="197"/>
      <c r="P503" s="197"/>
      <c r="Q503" s="197"/>
      <c r="R503" s="197"/>
      <c r="S503" s="197"/>
      <c r="T503" s="197"/>
    </row>
    <row r="504" ht="15.75" customHeight="1">
      <c r="E504" s="197"/>
      <c r="F504" s="197"/>
      <c r="G504" s="197"/>
      <c r="H504" s="197"/>
      <c r="I504" s="197"/>
      <c r="J504" s="197"/>
      <c r="K504" s="197"/>
      <c r="L504" s="197"/>
      <c r="M504" s="197"/>
      <c r="N504" s="197"/>
      <c r="O504" s="197"/>
      <c r="P504" s="197"/>
      <c r="Q504" s="197"/>
      <c r="R504" s="197"/>
      <c r="S504" s="197"/>
      <c r="T504" s="197"/>
    </row>
    <row r="505" ht="15.75" customHeight="1">
      <c r="E505" s="197"/>
      <c r="F505" s="197"/>
      <c r="G505" s="197"/>
      <c r="H505" s="197"/>
      <c r="I505" s="197"/>
      <c r="J505" s="197"/>
      <c r="K505" s="197"/>
      <c r="L505" s="197"/>
      <c r="M505" s="197"/>
      <c r="N505" s="197"/>
      <c r="O505" s="197"/>
      <c r="P505" s="197"/>
      <c r="Q505" s="197"/>
      <c r="R505" s="197"/>
      <c r="S505" s="197"/>
      <c r="T505" s="197"/>
    </row>
    <row r="506" ht="15.75" customHeight="1">
      <c r="E506" s="197"/>
      <c r="F506" s="197"/>
      <c r="G506" s="197"/>
      <c r="H506" s="197"/>
      <c r="I506" s="197"/>
      <c r="J506" s="197"/>
      <c r="K506" s="197"/>
      <c r="L506" s="197"/>
      <c r="M506" s="197"/>
      <c r="N506" s="197"/>
      <c r="O506" s="197"/>
      <c r="P506" s="197"/>
      <c r="Q506" s="197"/>
      <c r="R506" s="197"/>
      <c r="S506" s="197"/>
      <c r="T506" s="197"/>
    </row>
    <row r="507" ht="15.75" customHeight="1">
      <c r="E507" s="197"/>
      <c r="F507" s="197"/>
      <c r="G507" s="197"/>
      <c r="H507" s="197"/>
      <c r="I507" s="197"/>
      <c r="J507" s="197"/>
      <c r="K507" s="197"/>
      <c r="L507" s="197"/>
      <c r="M507" s="197"/>
      <c r="N507" s="197"/>
      <c r="O507" s="197"/>
      <c r="P507" s="197"/>
      <c r="Q507" s="197"/>
      <c r="R507" s="197"/>
      <c r="S507" s="197"/>
      <c r="T507" s="197"/>
    </row>
    <row r="508" ht="15.75" customHeight="1">
      <c r="E508" s="197"/>
      <c r="F508" s="197"/>
      <c r="G508" s="197"/>
      <c r="H508" s="197"/>
      <c r="I508" s="197"/>
      <c r="J508" s="197"/>
      <c r="K508" s="197"/>
      <c r="L508" s="197"/>
      <c r="M508" s="197"/>
      <c r="N508" s="197"/>
      <c r="O508" s="197"/>
      <c r="P508" s="197"/>
      <c r="Q508" s="197"/>
      <c r="R508" s="197"/>
      <c r="S508" s="197"/>
      <c r="T508" s="197"/>
    </row>
    <row r="509" ht="15.75" customHeight="1">
      <c r="E509" s="197"/>
      <c r="F509" s="197"/>
      <c r="G509" s="197"/>
      <c r="H509" s="197"/>
      <c r="I509" s="197"/>
      <c r="J509" s="197"/>
      <c r="K509" s="197"/>
      <c r="L509" s="197"/>
      <c r="M509" s="197"/>
      <c r="N509" s="197"/>
      <c r="O509" s="197"/>
      <c r="P509" s="197"/>
      <c r="Q509" s="197"/>
      <c r="R509" s="197"/>
      <c r="S509" s="197"/>
      <c r="T509" s="197"/>
    </row>
    <row r="510" ht="15.75" customHeight="1">
      <c r="E510" s="197"/>
      <c r="F510" s="197"/>
      <c r="G510" s="197"/>
      <c r="H510" s="197"/>
      <c r="I510" s="197"/>
      <c r="J510" s="197"/>
      <c r="K510" s="197"/>
      <c r="L510" s="197"/>
      <c r="M510" s="197"/>
      <c r="N510" s="197"/>
      <c r="O510" s="197"/>
      <c r="P510" s="197"/>
      <c r="Q510" s="197"/>
      <c r="R510" s="197"/>
      <c r="S510" s="197"/>
      <c r="T510" s="197"/>
    </row>
    <row r="511" ht="15.75" customHeight="1">
      <c r="E511" s="197"/>
      <c r="F511" s="197"/>
      <c r="G511" s="197"/>
      <c r="H511" s="197"/>
      <c r="I511" s="197"/>
      <c r="J511" s="197"/>
      <c r="K511" s="197"/>
      <c r="L511" s="197"/>
      <c r="M511" s="197"/>
      <c r="N511" s="197"/>
      <c r="O511" s="197"/>
      <c r="P511" s="197"/>
      <c r="Q511" s="197"/>
      <c r="R511" s="197"/>
      <c r="S511" s="197"/>
      <c r="T511" s="197"/>
    </row>
    <row r="512" ht="15.75" customHeight="1">
      <c r="E512" s="197"/>
      <c r="F512" s="197"/>
      <c r="G512" s="197"/>
      <c r="H512" s="197"/>
      <c r="I512" s="197"/>
      <c r="J512" s="197"/>
      <c r="K512" s="197"/>
      <c r="L512" s="197"/>
      <c r="M512" s="197"/>
      <c r="N512" s="197"/>
      <c r="O512" s="197"/>
      <c r="P512" s="197"/>
      <c r="Q512" s="197"/>
      <c r="R512" s="197"/>
      <c r="S512" s="197"/>
      <c r="T512" s="197"/>
    </row>
    <row r="513" ht="15.75" customHeight="1">
      <c r="E513" s="197"/>
      <c r="F513" s="197"/>
      <c r="G513" s="197"/>
      <c r="H513" s="197"/>
      <c r="I513" s="197"/>
      <c r="J513" s="197"/>
      <c r="K513" s="197"/>
      <c r="L513" s="197"/>
      <c r="M513" s="197"/>
      <c r="N513" s="197"/>
      <c r="O513" s="197"/>
      <c r="P513" s="197"/>
      <c r="Q513" s="197"/>
      <c r="R513" s="197"/>
      <c r="S513" s="197"/>
      <c r="T513" s="197"/>
    </row>
    <row r="514" ht="15.75" customHeight="1">
      <c r="E514" s="197"/>
      <c r="F514" s="197"/>
      <c r="G514" s="197"/>
      <c r="H514" s="197"/>
      <c r="I514" s="197"/>
      <c r="J514" s="197"/>
      <c r="K514" s="197"/>
      <c r="L514" s="197"/>
      <c r="M514" s="197"/>
      <c r="N514" s="197"/>
      <c r="O514" s="197"/>
      <c r="P514" s="197"/>
      <c r="Q514" s="197"/>
      <c r="R514" s="197"/>
      <c r="S514" s="197"/>
      <c r="T514" s="197"/>
    </row>
    <row r="515" ht="15.75" customHeight="1">
      <c r="E515" s="197"/>
      <c r="F515" s="197"/>
      <c r="G515" s="197"/>
      <c r="H515" s="197"/>
      <c r="I515" s="197"/>
      <c r="J515" s="197"/>
      <c r="K515" s="197"/>
      <c r="L515" s="197"/>
      <c r="M515" s="197"/>
      <c r="N515" s="197"/>
      <c r="O515" s="197"/>
      <c r="P515" s="197"/>
      <c r="Q515" s="197"/>
      <c r="R515" s="197"/>
      <c r="S515" s="197"/>
      <c r="T515" s="197"/>
    </row>
    <row r="516" ht="15.75" customHeight="1">
      <c r="E516" s="197"/>
      <c r="F516" s="197"/>
      <c r="G516" s="197"/>
      <c r="H516" s="197"/>
      <c r="I516" s="197"/>
      <c r="J516" s="197"/>
      <c r="K516" s="197"/>
      <c r="L516" s="197"/>
      <c r="M516" s="197"/>
      <c r="N516" s="197"/>
      <c r="O516" s="197"/>
      <c r="P516" s="197"/>
      <c r="Q516" s="197"/>
      <c r="R516" s="197"/>
      <c r="S516" s="197"/>
      <c r="T516" s="197"/>
    </row>
    <row r="517" ht="15.75" customHeight="1">
      <c r="E517" s="197"/>
      <c r="F517" s="197"/>
      <c r="G517" s="197"/>
      <c r="H517" s="197"/>
      <c r="I517" s="197"/>
      <c r="J517" s="197"/>
      <c r="K517" s="197"/>
      <c r="L517" s="197"/>
      <c r="M517" s="197"/>
      <c r="N517" s="197"/>
      <c r="O517" s="197"/>
      <c r="P517" s="197"/>
      <c r="Q517" s="197"/>
      <c r="R517" s="197"/>
      <c r="S517" s="197"/>
      <c r="T517" s="197"/>
    </row>
    <row r="518" ht="15.75" customHeight="1">
      <c r="E518" s="197"/>
      <c r="F518" s="197"/>
      <c r="G518" s="197"/>
      <c r="H518" s="197"/>
      <c r="I518" s="197"/>
      <c r="J518" s="197"/>
      <c r="K518" s="197"/>
      <c r="L518" s="197"/>
      <c r="M518" s="197"/>
      <c r="N518" s="197"/>
      <c r="O518" s="197"/>
      <c r="P518" s="197"/>
      <c r="Q518" s="197"/>
      <c r="R518" s="197"/>
      <c r="S518" s="197"/>
      <c r="T518" s="197"/>
    </row>
    <row r="519" ht="15.75" customHeight="1">
      <c r="E519" s="197"/>
      <c r="F519" s="197"/>
      <c r="G519" s="197"/>
      <c r="H519" s="197"/>
      <c r="I519" s="197"/>
      <c r="J519" s="197"/>
      <c r="K519" s="197"/>
      <c r="L519" s="197"/>
      <c r="M519" s="197"/>
      <c r="N519" s="197"/>
      <c r="O519" s="197"/>
      <c r="P519" s="197"/>
      <c r="Q519" s="197"/>
      <c r="R519" s="197"/>
      <c r="S519" s="197"/>
      <c r="T519" s="197"/>
    </row>
    <row r="520" ht="15.75" customHeight="1">
      <c r="E520" s="197"/>
      <c r="F520" s="197"/>
      <c r="G520" s="197"/>
      <c r="H520" s="197"/>
      <c r="I520" s="197"/>
      <c r="J520" s="197"/>
      <c r="K520" s="197"/>
      <c r="L520" s="197"/>
      <c r="M520" s="197"/>
      <c r="N520" s="197"/>
      <c r="O520" s="197"/>
      <c r="P520" s="197"/>
      <c r="Q520" s="197"/>
      <c r="R520" s="197"/>
      <c r="S520" s="197"/>
      <c r="T520" s="197"/>
    </row>
    <row r="521" ht="15.75" customHeight="1">
      <c r="E521" s="197"/>
      <c r="F521" s="197"/>
      <c r="G521" s="197"/>
      <c r="H521" s="197"/>
      <c r="I521" s="197"/>
      <c r="J521" s="197"/>
      <c r="K521" s="197"/>
      <c r="L521" s="197"/>
      <c r="M521" s="197"/>
      <c r="N521" s="197"/>
      <c r="O521" s="197"/>
      <c r="P521" s="197"/>
      <c r="Q521" s="197"/>
      <c r="R521" s="197"/>
      <c r="S521" s="197"/>
      <c r="T521" s="197"/>
    </row>
    <row r="522" ht="15.75" customHeight="1">
      <c r="E522" s="197"/>
      <c r="F522" s="197"/>
      <c r="G522" s="197"/>
      <c r="H522" s="197"/>
      <c r="I522" s="197"/>
      <c r="J522" s="197"/>
      <c r="K522" s="197"/>
      <c r="L522" s="197"/>
      <c r="M522" s="197"/>
      <c r="N522" s="197"/>
      <c r="O522" s="197"/>
      <c r="P522" s="197"/>
      <c r="Q522" s="197"/>
      <c r="R522" s="197"/>
      <c r="S522" s="197"/>
      <c r="T522" s="197"/>
    </row>
    <row r="523" ht="15.75" customHeight="1">
      <c r="E523" s="197"/>
      <c r="F523" s="197"/>
      <c r="G523" s="197"/>
      <c r="H523" s="197"/>
      <c r="I523" s="197"/>
      <c r="J523" s="197"/>
      <c r="K523" s="197"/>
      <c r="L523" s="197"/>
      <c r="M523" s="197"/>
      <c r="N523" s="197"/>
      <c r="O523" s="197"/>
      <c r="P523" s="197"/>
      <c r="Q523" s="197"/>
      <c r="R523" s="197"/>
      <c r="S523" s="197"/>
      <c r="T523" s="197"/>
    </row>
    <row r="524" ht="15.75" customHeight="1">
      <c r="E524" s="197"/>
      <c r="F524" s="197"/>
      <c r="G524" s="197"/>
      <c r="H524" s="197"/>
      <c r="I524" s="197"/>
      <c r="J524" s="197"/>
      <c r="K524" s="197"/>
      <c r="L524" s="197"/>
      <c r="M524" s="197"/>
      <c r="N524" s="197"/>
      <c r="O524" s="197"/>
      <c r="P524" s="197"/>
      <c r="Q524" s="197"/>
      <c r="R524" s="197"/>
      <c r="S524" s="197"/>
      <c r="T524" s="197"/>
    </row>
    <row r="525" ht="15.75" customHeight="1">
      <c r="E525" s="197"/>
      <c r="F525" s="197"/>
      <c r="G525" s="197"/>
      <c r="H525" s="197"/>
      <c r="I525" s="197"/>
      <c r="J525" s="197"/>
      <c r="K525" s="197"/>
      <c r="L525" s="197"/>
      <c r="M525" s="197"/>
      <c r="N525" s="197"/>
      <c r="O525" s="197"/>
      <c r="P525" s="197"/>
      <c r="Q525" s="197"/>
      <c r="R525" s="197"/>
      <c r="S525" s="197"/>
      <c r="T525" s="197"/>
    </row>
    <row r="526" ht="15.75" customHeight="1">
      <c r="E526" s="197"/>
      <c r="F526" s="197"/>
      <c r="G526" s="197"/>
      <c r="H526" s="197"/>
      <c r="I526" s="197"/>
      <c r="J526" s="197"/>
      <c r="K526" s="197"/>
      <c r="L526" s="197"/>
      <c r="M526" s="197"/>
      <c r="N526" s="197"/>
      <c r="O526" s="197"/>
      <c r="P526" s="197"/>
      <c r="Q526" s="197"/>
      <c r="R526" s="197"/>
      <c r="S526" s="197"/>
      <c r="T526" s="197"/>
    </row>
    <row r="527" ht="15.75" customHeight="1">
      <c r="E527" s="197"/>
      <c r="F527" s="197"/>
      <c r="G527" s="197"/>
      <c r="H527" s="197"/>
      <c r="I527" s="197"/>
      <c r="J527" s="197"/>
      <c r="K527" s="197"/>
      <c r="L527" s="197"/>
      <c r="M527" s="197"/>
      <c r="N527" s="197"/>
      <c r="O527" s="197"/>
      <c r="P527" s="197"/>
      <c r="Q527" s="197"/>
      <c r="R527" s="197"/>
      <c r="S527" s="197"/>
      <c r="T527" s="197"/>
    </row>
    <row r="528" ht="15.75" customHeight="1">
      <c r="E528" s="197"/>
      <c r="F528" s="197"/>
      <c r="G528" s="197"/>
      <c r="H528" s="197"/>
      <c r="I528" s="197"/>
      <c r="J528" s="197"/>
      <c r="K528" s="197"/>
      <c r="L528" s="197"/>
      <c r="M528" s="197"/>
      <c r="N528" s="197"/>
      <c r="O528" s="197"/>
      <c r="P528" s="197"/>
      <c r="Q528" s="197"/>
      <c r="R528" s="197"/>
      <c r="S528" s="197"/>
      <c r="T528" s="197"/>
    </row>
    <row r="529" ht="15.75" customHeight="1">
      <c r="E529" s="197"/>
      <c r="F529" s="197"/>
      <c r="G529" s="197"/>
      <c r="H529" s="197"/>
      <c r="I529" s="197"/>
      <c r="J529" s="197"/>
      <c r="K529" s="197"/>
      <c r="L529" s="197"/>
      <c r="M529" s="197"/>
      <c r="N529" s="197"/>
      <c r="O529" s="197"/>
      <c r="P529" s="197"/>
      <c r="Q529" s="197"/>
      <c r="R529" s="197"/>
      <c r="S529" s="197"/>
      <c r="T529" s="197"/>
    </row>
    <row r="530" ht="15.75" customHeight="1">
      <c r="E530" s="197"/>
      <c r="F530" s="197"/>
      <c r="G530" s="197"/>
      <c r="H530" s="197"/>
      <c r="I530" s="197"/>
      <c r="J530" s="197"/>
      <c r="K530" s="197"/>
      <c r="L530" s="197"/>
      <c r="M530" s="197"/>
      <c r="N530" s="197"/>
      <c r="O530" s="197"/>
      <c r="P530" s="197"/>
      <c r="Q530" s="197"/>
      <c r="R530" s="197"/>
      <c r="S530" s="197"/>
      <c r="T530" s="197"/>
    </row>
    <row r="531" ht="15.75" customHeight="1">
      <c r="E531" s="197"/>
      <c r="F531" s="197"/>
      <c r="G531" s="197"/>
      <c r="H531" s="197"/>
      <c r="I531" s="197"/>
      <c r="J531" s="197"/>
      <c r="K531" s="197"/>
      <c r="L531" s="197"/>
      <c r="M531" s="197"/>
      <c r="N531" s="197"/>
      <c r="O531" s="197"/>
      <c r="P531" s="197"/>
      <c r="Q531" s="197"/>
      <c r="R531" s="197"/>
      <c r="S531" s="197"/>
      <c r="T531" s="197"/>
    </row>
    <row r="532" ht="15.75" customHeight="1">
      <c r="E532" s="197"/>
      <c r="F532" s="197"/>
      <c r="G532" s="197"/>
      <c r="H532" s="197"/>
      <c r="I532" s="197"/>
      <c r="J532" s="197"/>
      <c r="K532" s="197"/>
      <c r="L532" s="197"/>
      <c r="M532" s="197"/>
      <c r="N532" s="197"/>
      <c r="O532" s="197"/>
      <c r="P532" s="197"/>
      <c r="Q532" s="197"/>
      <c r="R532" s="197"/>
      <c r="S532" s="197"/>
      <c r="T532" s="197"/>
    </row>
    <row r="533" ht="15.75" customHeight="1">
      <c r="E533" s="197"/>
      <c r="F533" s="197"/>
      <c r="G533" s="197"/>
      <c r="H533" s="197"/>
      <c r="I533" s="197"/>
      <c r="J533" s="197"/>
      <c r="K533" s="197"/>
      <c r="L533" s="197"/>
      <c r="M533" s="197"/>
      <c r="N533" s="197"/>
      <c r="O533" s="197"/>
      <c r="P533" s="197"/>
      <c r="Q533" s="197"/>
      <c r="R533" s="197"/>
      <c r="S533" s="197"/>
      <c r="T533" s="197"/>
    </row>
    <row r="534" ht="15.75" customHeight="1">
      <c r="E534" s="197"/>
      <c r="F534" s="197"/>
      <c r="G534" s="197"/>
      <c r="H534" s="197"/>
      <c r="I534" s="197"/>
      <c r="J534" s="197"/>
      <c r="K534" s="197"/>
      <c r="L534" s="197"/>
      <c r="M534" s="197"/>
      <c r="N534" s="197"/>
      <c r="O534" s="197"/>
      <c r="P534" s="197"/>
      <c r="Q534" s="197"/>
      <c r="R534" s="197"/>
      <c r="S534" s="197"/>
      <c r="T534" s="197"/>
    </row>
    <row r="535" ht="15.75" customHeight="1">
      <c r="E535" s="197"/>
      <c r="F535" s="197"/>
      <c r="G535" s="197"/>
      <c r="H535" s="197"/>
      <c r="I535" s="197"/>
      <c r="J535" s="197"/>
      <c r="K535" s="197"/>
      <c r="L535" s="197"/>
      <c r="M535" s="197"/>
      <c r="N535" s="197"/>
      <c r="O535" s="197"/>
      <c r="P535" s="197"/>
      <c r="Q535" s="197"/>
      <c r="R535" s="197"/>
      <c r="S535" s="197"/>
      <c r="T535" s="197"/>
    </row>
    <row r="536" ht="15.75" customHeight="1">
      <c r="E536" s="197"/>
      <c r="F536" s="197"/>
      <c r="G536" s="197"/>
      <c r="H536" s="197"/>
      <c r="I536" s="197"/>
      <c r="J536" s="197"/>
      <c r="K536" s="197"/>
      <c r="L536" s="197"/>
      <c r="M536" s="197"/>
      <c r="N536" s="197"/>
      <c r="O536" s="197"/>
      <c r="P536" s="197"/>
      <c r="Q536" s="197"/>
      <c r="R536" s="197"/>
      <c r="S536" s="197"/>
      <c r="T536" s="197"/>
    </row>
    <row r="537" ht="15.75" customHeight="1">
      <c r="E537" s="197"/>
      <c r="F537" s="197"/>
      <c r="G537" s="197"/>
      <c r="H537" s="197"/>
      <c r="I537" s="197"/>
      <c r="J537" s="197"/>
      <c r="K537" s="197"/>
      <c r="L537" s="197"/>
      <c r="M537" s="197"/>
      <c r="N537" s="197"/>
      <c r="O537" s="197"/>
      <c r="P537" s="197"/>
      <c r="Q537" s="197"/>
      <c r="R537" s="197"/>
      <c r="S537" s="197"/>
      <c r="T537" s="197"/>
    </row>
    <row r="538" ht="15.75" customHeight="1">
      <c r="E538" s="197"/>
      <c r="F538" s="197"/>
      <c r="G538" s="197"/>
      <c r="H538" s="197"/>
      <c r="I538" s="197"/>
      <c r="J538" s="197"/>
      <c r="K538" s="197"/>
      <c r="L538" s="197"/>
      <c r="M538" s="197"/>
      <c r="N538" s="197"/>
      <c r="O538" s="197"/>
      <c r="P538" s="197"/>
      <c r="Q538" s="197"/>
      <c r="R538" s="197"/>
      <c r="S538" s="197"/>
      <c r="T538" s="197"/>
    </row>
    <row r="539" ht="15.75" customHeight="1">
      <c r="E539" s="197"/>
      <c r="F539" s="197"/>
      <c r="G539" s="197"/>
      <c r="H539" s="197"/>
      <c r="I539" s="197"/>
      <c r="J539" s="197"/>
      <c r="K539" s="197"/>
      <c r="L539" s="197"/>
      <c r="M539" s="197"/>
      <c r="N539" s="197"/>
      <c r="O539" s="197"/>
      <c r="P539" s="197"/>
      <c r="Q539" s="197"/>
      <c r="R539" s="197"/>
      <c r="S539" s="197"/>
      <c r="T539" s="197"/>
    </row>
    <row r="540" ht="15.75" customHeight="1">
      <c r="E540" s="197"/>
      <c r="F540" s="197"/>
      <c r="G540" s="197"/>
      <c r="H540" s="197"/>
      <c r="I540" s="197"/>
      <c r="J540" s="197"/>
      <c r="K540" s="197"/>
      <c r="L540" s="197"/>
      <c r="M540" s="197"/>
      <c r="N540" s="197"/>
      <c r="O540" s="197"/>
      <c r="P540" s="197"/>
      <c r="Q540" s="197"/>
      <c r="R540" s="197"/>
      <c r="S540" s="197"/>
      <c r="T540" s="197"/>
    </row>
    <row r="541" ht="15.75" customHeight="1">
      <c r="E541" s="197"/>
      <c r="F541" s="197"/>
      <c r="G541" s="197"/>
      <c r="H541" s="197"/>
      <c r="I541" s="197"/>
      <c r="J541" s="197"/>
      <c r="K541" s="197"/>
      <c r="L541" s="197"/>
      <c r="M541" s="197"/>
      <c r="N541" s="197"/>
      <c r="O541" s="197"/>
      <c r="P541" s="197"/>
      <c r="Q541" s="197"/>
      <c r="R541" s="197"/>
      <c r="S541" s="197"/>
      <c r="T541" s="197"/>
    </row>
    <row r="542" ht="15.75" customHeight="1">
      <c r="E542" s="197"/>
      <c r="F542" s="197"/>
      <c r="G542" s="197"/>
      <c r="H542" s="197"/>
      <c r="I542" s="197"/>
      <c r="J542" s="197"/>
      <c r="K542" s="197"/>
      <c r="L542" s="197"/>
      <c r="M542" s="197"/>
      <c r="N542" s="197"/>
      <c r="O542" s="197"/>
      <c r="P542" s="197"/>
      <c r="Q542" s="197"/>
      <c r="R542" s="197"/>
      <c r="S542" s="197"/>
      <c r="T542" s="197"/>
    </row>
    <row r="543" ht="15.75" customHeight="1">
      <c r="E543" s="197"/>
      <c r="F543" s="197"/>
      <c r="G543" s="197"/>
      <c r="H543" s="197"/>
      <c r="I543" s="197"/>
      <c r="J543" s="197"/>
      <c r="K543" s="197"/>
      <c r="L543" s="197"/>
      <c r="M543" s="197"/>
      <c r="N543" s="197"/>
      <c r="O543" s="197"/>
      <c r="P543" s="197"/>
      <c r="Q543" s="197"/>
      <c r="R543" s="197"/>
      <c r="S543" s="197"/>
      <c r="T543" s="197"/>
    </row>
    <row r="544" ht="15.75" customHeight="1">
      <c r="E544" s="197"/>
      <c r="F544" s="197"/>
      <c r="G544" s="197"/>
      <c r="H544" s="197"/>
      <c r="I544" s="197"/>
      <c r="J544" s="197"/>
      <c r="K544" s="197"/>
      <c r="L544" s="197"/>
      <c r="M544" s="197"/>
      <c r="N544" s="197"/>
      <c r="O544" s="197"/>
      <c r="P544" s="197"/>
      <c r="Q544" s="197"/>
      <c r="R544" s="197"/>
      <c r="S544" s="197"/>
      <c r="T544" s="197"/>
    </row>
    <row r="545" ht="15.75" customHeight="1">
      <c r="E545" s="197"/>
      <c r="F545" s="197"/>
      <c r="G545" s="197"/>
      <c r="H545" s="197"/>
      <c r="I545" s="197"/>
      <c r="J545" s="197"/>
      <c r="K545" s="197"/>
      <c r="L545" s="197"/>
      <c r="M545" s="197"/>
      <c r="N545" s="197"/>
      <c r="O545" s="197"/>
      <c r="P545" s="197"/>
      <c r="Q545" s="197"/>
      <c r="R545" s="197"/>
      <c r="S545" s="197"/>
      <c r="T545" s="197"/>
    </row>
    <row r="546" ht="15.75" customHeight="1">
      <c r="E546" s="197"/>
      <c r="F546" s="197"/>
      <c r="G546" s="197"/>
      <c r="H546" s="197"/>
      <c r="I546" s="197"/>
      <c r="J546" s="197"/>
      <c r="K546" s="197"/>
      <c r="L546" s="197"/>
      <c r="M546" s="197"/>
      <c r="N546" s="197"/>
      <c r="O546" s="197"/>
      <c r="P546" s="197"/>
      <c r="Q546" s="197"/>
      <c r="R546" s="197"/>
      <c r="S546" s="197"/>
      <c r="T546" s="197"/>
    </row>
    <row r="547" ht="15.75" customHeight="1">
      <c r="E547" s="197"/>
      <c r="F547" s="197"/>
      <c r="G547" s="197"/>
      <c r="H547" s="197"/>
      <c r="I547" s="197"/>
      <c r="J547" s="197"/>
      <c r="K547" s="197"/>
      <c r="L547" s="197"/>
      <c r="M547" s="197"/>
      <c r="N547" s="197"/>
      <c r="O547" s="197"/>
      <c r="P547" s="197"/>
      <c r="Q547" s="197"/>
      <c r="R547" s="197"/>
      <c r="S547" s="197"/>
      <c r="T547" s="197"/>
    </row>
    <row r="548" ht="15.75" customHeight="1">
      <c r="E548" s="197"/>
      <c r="F548" s="197"/>
      <c r="G548" s="197"/>
      <c r="H548" s="197"/>
      <c r="I548" s="197"/>
      <c r="J548" s="197"/>
      <c r="K548" s="197"/>
      <c r="L548" s="197"/>
      <c r="M548" s="197"/>
      <c r="N548" s="197"/>
      <c r="O548" s="197"/>
      <c r="P548" s="197"/>
      <c r="Q548" s="197"/>
      <c r="R548" s="197"/>
      <c r="S548" s="197"/>
      <c r="T548" s="197"/>
    </row>
    <row r="549" ht="15.75" customHeight="1">
      <c r="E549" s="197"/>
      <c r="F549" s="197"/>
      <c r="G549" s="197"/>
      <c r="H549" s="197"/>
      <c r="I549" s="197"/>
      <c r="J549" s="197"/>
      <c r="K549" s="197"/>
      <c r="L549" s="197"/>
      <c r="M549" s="197"/>
      <c r="N549" s="197"/>
      <c r="O549" s="197"/>
      <c r="P549" s="197"/>
      <c r="Q549" s="197"/>
      <c r="R549" s="197"/>
      <c r="S549" s="197"/>
      <c r="T549" s="197"/>
    </row>
    <row r="550" ht="15.75" customHeight="1">
      <c r="E550" s="197"/>
      <c r="F550" s="197"/>
      <c r="G550" s="197"/>
      <c r="H550" s="197"/>
      <c r="I550" s="197"/>
      <c r="J550" s="197"/>
      <c r="K550" s="197"/>
      <c r="L550" s="197"/>
      <c r="M550" s="197"/>
      <c r="N550" s="197"/>
      <c r="O550" s="197"/>
      <c r="P550" s="197"/>
      <c r="Q550" s="197"/>
      <c r="R550" s="197"/>
      <c r="S550" s="197"/>
      <c r="T550" s="197"/>
    </row>
    <row r="551" ht="15.75" customHeight="1">
      <c r="E551" s="197"/>
      <c r="F551" s="197"/>
      <c r="G551" s="197"/>
      <c r="H551" s="197"/>
      <c r="I551" s="197"/>
      <c r="J551" s="197"/>
      <c r="K551" s="197"/>
      <c r="L551" s="197"/>
      <c r="M551" s="197"/>
      <c r="N551" s="197"/>
      <c r="O551" s="197"/>
      <c r="P551" s="197"/>
      <c r="Q551" s="197"/>
      <c r="R551" s="197"/>
      <c r="S551" s="197"/>
      <c r="T551" s="197"/>
    </row>
    <row r="552" ht="15.75" customHeight="1">
      <c r="E552" s="197"/>
      <c r="F552" s="197"/>
      <c r="G552" s="197"/>
      <c r="H552" s="197"/>
      <c r="I552" s="197"/>
      <c r="J552" s="197"/>
      <c r="K552" s="197"/>
      <c r="L552" s="197"/>
      <c r="M552" s="197"/>
      <c r="N552" s="197"/>
      <c r="O552" s="197"/>
      <c r="P552" s="197"/>
      <c r="Q552" s="197"/>
      <c r="R552" s="197"/>
      <c r="S552" s="197"/>
      <c r="T552" s="197"/>
    </row>
    <row r="553" ht="15.75" customHeight="1">
      <c r="E553" s="197"/>
      <c r="F553" s="197"/>
      <c r="G553" s="197"/>
      <c r="H553" s="197"/>
      <c r="I553" s="197"/>
      <c r="J553" s="197"/>
      <c r="K553" s="197"/>
      <c r="L553" s="197"/>
      <c r="M553" s="197"/>
      <c r="N553" s="197"/>
      <c r="O553" s="197"/>
      <c r="P553" s="197"/>
      <c r="Q553" s="197"/>
      <c r="R553" s="197"/>
      <c r="S553" s="197"/>
      <c r="T553" s="197"/>
    </row>
    <row r="554" ht="15.75" customHeight="1">
      <c r="E554" s="197"/>
      <c r="F554" s="197"/>
      <c r="G554" s="197"/>
      <c r="H554" s="197"/>
      <c r="I554" s="197"/>
      <c r="J554" s="197"/>
      <c r="K554" s="197"/>
      <c r="L554" s="197"/>
      <c r="M554" s="197"/>
      <c r="N554" s="197"/>
      <c r="O554" s="197"/>
      <c r="P554" s="197"/>
      <c r="Q554" s="197"/>
      <c r="R554" s="197"/>
      <c r="S554" s="197"/>
      <c r="T554" s="197"/>
    </row>
    <row r="555" ht="15.75" customHeight="1">
      <c r="E555" s="197"/>
      <c r="F555" s="197"/>
      <c r="G555" s="197"/>
      <c r="H555" s="197"/>
      <c r="I555" s="197"/>
      <c r="J555" s="197"/>
      <c r="K555" s="197"/>
      <c r="L555" s="197"/>
      <c r="M555" s="197"/>
      <c r="N555" s="197"/>
      <c r="O555" s="197"/>
      <c r="P555" s="197"/>
      <c r="Q555" s="197"/>
      <c r="R555" s="197"/>
      <c r="S555" s="197"/>
      <c r="T555" s="197"/>
    </row>
    <row r="556" ht="15.75" customHeight="1">
      <c r="E556" s="197"/>
      <c r="F556" s="197"/>
      <c r="G556" s="197"/>
      <c r="H556" s="197"/>
      <c r="I556" s="197"/>
      <c r="J556" s="197"/>
      <c r="K556" s="197"/>
      <c r="L556" s="197"/>
      <c r="M556" s="197"/>
      <c r="N556" s="197"/>
      <c r="O556" s="197"/>
      <c r="P556" s="197"/>
      <c r="Q556" s="197"/>
      <c r="R556" s="197"/>
      <c r="S556" s="197"/>
      <c r="T556" s="197"/>
    </row>
    <row r="557" ht="15.75" customHeight="1">
      <c r="E557" s="197"/>
      <c r="F557" s="197"/>
      <c r="G557" s="197"/>
      <c r="H557" s="197"/>
      <c r="I557" s="197"/>
      <c r="J557" s="197"/>
      <c r="K557" s="197"/>
      <c r="L557" s="197"/>
      <c r="M557" s="197"/>
      <c r="N557" s="197"/>
      <c r="O557" s="197"/>
      <c r="P557" s="197"/>
      <c r="Q557" s="197"/>
      <c r="R557" s="197"/>
      <c r="S557" s="197"/>
      <c r="T557" s="197"/>
    </row>
    <row r="558" ht="15.75" customHeight="1">
      <c r="E558" s="197"/>
      <c r="F558" s="197"/>
      <c r="G558" s="197"/>
      <c r="H558" s="197"/>
      <c r="I558" s="197"/>
      <c r="J558" s="197"/>
      <c r="K558" s="197"/>
      <c r="L558" s="197"/>
      <c r="M558" s="197"/>
      <c r="N558" s="197"/>
      <c r="O558" s="197"/>
      <c r="P558" s="197"/>
      <c r="Q558" s="197"/>
      <c r="R558" s="197"/>
      <c r="S558" s="197"/>
      <c r="T558" s="197"/>
    </row>
    <row r="559" ht="15.75" customHeight="1">
      <c r="E559" s="197"/>
      <c r="F559" s="197"/>
      <c r="G559" s="197"/>
      <c r="H559" s="197"/>
      <c r="I559" s="197"/>
      <c r="J559" s="197"/>
      <c r="K559" s="197"/>
      <c r="L559" s="197"/>
      <c r="M559" s="197"/>
      <c r="N559" s="197"/>
      <c r="O559" s="197"/>
      <c r="P559" s="197"/>
      <c r="Q559" s="197"/>
      <c r="R559" s="197"/>
      <c r="S559" s="197"/>
      <c r="T559" s="197"/>
    </row>
    <row r="560" ht="15.75" customHeight="1">
      <c r="E560" s="197"/>
      <c r="F560" s="197"/>
      <c r="G560" s="197"/>
      <c r="H560" s="197"/>
      <c r="I560" s="197"/>
      <c r="J560" s="197"/>
      <c r="K560" s="197"/>
      <c r="L560" s="197"/>
      <c r="M560" s="197"/>
      <c r="N560" s="197"/>
      <c r="O560" s="197"/>
      <c r="P560" s="197"/>
      <c r="Q560" s="197"/>
      <c r="R560" s="197"/>
      <c r="S560" s="197"/>
      <c r="T560" s="197"/>
    </row>
    <row r="561" ht="15.75" customHeight="1">
      <c r="E561" s="197"/>
      <c r="F561" s="197"/>
      <c r="G561" s="197"/>
      <c r="H561" s="197"/>
      <c r="I561" s="197"/>
      <c r="J561" s="197"/>
      <c r="K561" s="197"/>
      <c r="L561" s="197"/>
      <c r="M561" s="197"/>
      <c r="N561" s="197"/>
      <c r="O561" s="197"/>
      <c r="P561" s="197"/>
      <c r="Q561" s="197"/>
      <c r="R561" s="197"/>
      <c r="S561" s="197"/>
      <c r="T561" s="197"/>
    </row>
    <row r="562" ht="15.75" customHeight="1">
      <c r="E562" s="197"/>
      <c r="F562" s="197"/>
      <c r="G562" s="197"/>
      <c r="H562" s="197"/>
      <c r="I562" s="197"/>
      <c r="J562" s="197"/>
      <c r="K562" s="197"/>
      <c r="L562" s="197"/>
      <c r="M562" s="197"/>
      <c r="N562" s="197"/>
      <c r="O562" s="197"/>
      <c r="P562" s="197"/>
      <c r="Q562" s="197"/>
      <c r="R562" s="197"/>
      <c r="S562" s="197"/>
      <c r="T562" s="197"/>
    </row>
    <row r="563" ht="15.75" customHeight="1">
      <c r="E563" s="197"/>
      <c r="F563" s="197"/>
      <c r="G563" s="197"/>
      <c r="H563" s="197"/>
      <c r="I563" s="197"/>
      <c r="J563" s="197"/>
      <c r="K563" s="197"/>
      <c r="L563" s="197"/>
      <c r="M563" s="197"/>
      <c r="N563" s="197"/>
      <c r="O563" s="197"/>
      <c r="P563" s="197"/>
      <c r="Q563" s="197"/>
      <c r="R563" s="197"/>
      <c r="S563" s="197"/>
      <c r="T563" s="197"/>
    </row>
    <row r="564" ht="15.75" customHeight="1">
      <c r="E564" s="197"/>
      <c r="F564" s="197"/>
      <c r="G564" s="197"/>
      <c r="H564" s="197"/>
      <c r="I564" s="197"/>
      <c r="J564" s="197"/>
      <c r="K564" s="197"/>
      <c r="L564" s="197"/>
      <c r="M564" s="197"/>
      <c r="N564" s="197"/>
      <c r="O564" s="197"/>
      <c r="P564" s="197"/>
      <c r="Q564" s="197"/>
      <c r="R564" s="197"/>
      <c r="S564" s="197"/>
      <c r="T564" s="197"/>
    </row>
    <row r="565" ht="15.75" customHeight="1">
      <c r="E565" s="197"/>
      <c r="F565" s="197"/>
      <c r="G565" s="197"/>
      <c r="H565" s="197"/>
      <c r="I565" s="197"/>
      <c r="J565" s="197"/>
      <c r="K565" s="197"/>
      <c r="L565" s="197"/>
      <c r="M565" s="197"/>
      <c r="N565" s="197"/>
      <c r="O565" s="197"/>
      <c r="P565" s="197"/>
      <c r="Q565" s="197"/>
      <c r="R565" s="197"/>
      <c r="S565" s="197"/>
      <c r="T565" s="197"/>
    </row>
    <row r="566" ht="15.75" customHeight="1">
      <c r="E566" s="197"/>
      <c r="F566" s="197"/>
      <c r="G566" s="197"/>
      <c r="H566" s="197"/>
      <c r="I566" s="197"/>
      <c r="J566" s="197"/>
      <c r="K566" s="197"/>
      <c r="L566" s="197"/>
      <c r="M566" s="197"/>
      <c r="N566" s="197"/>
      <c r="O566" s="197"/>
      <c r="P566" s="197"/>
      <c r="Q566" s="197"/>
      <c r="R566" s="197"/>
      <c r="S566" s="197"/>
      <c r="T566" s="197"/>
    </row>
    <row r="567" ht="15.75" customHeight="1">
      <c r="E567" s="197"/>
      <c r="F567" s="197"/>
      <c r="G567" s="197"/>
      <c r="H567" s="197"/>
      <c r="I567" s="197"/>
      <c r="J567" s="197"/>
      <c r="K567" s="197"/>
      <c r="L567" s="197"/>
      <c r="M567" s="197"/>
      <c r="N567" s="197"/>
      <c r="O567" s="197"/>
      <c r="P567" s="197"/>
      <c r="Q567" s="197"/>
      <c r="R567" s="197"/>
      <c r="S567" s="197"/>
      <c r="T567" s="197"/>
    </row>
    <row r="568" ht="15.75" customHeight="1">
      <c r="E568" s="197"/>
      <c r="F568" s="197"/>
      <c r="G568" s="197"/>
      <c r="H568" s="197"/>
      <c r="I568" s="197"/>
      <c r="J568" s="197"/>
      <c r="K568" s="197"/>
      <c r="L568" s="197"/>
      <c r="M568" s="197"/>
      <c r="N568" s="197"/>
      <c r="O568" s="197"/>
      <c r="P568" s="197"/>
      <c r="Q568" s="197"/>
      <c r="R568" s="197"/>
      <c r="S568" s="197"/>
      <c r="T568" s="197"/>
    </row>
    <row r="569" ht="15.75" customHeight="1">
      <c r="E569" s="197"/>
      <c r="F569" s="197"/>
      <c r="G569" s="197"/>
      <c r="H569" s="197"/>
      <c r="I569" s="197"/>
      <c r="J569" s="197"/>
      <c r="K569" s="197"/>
      <c r="L569" s="197"/>
      <c r="M569" s="197"/>
      <c r="N569" s="197"/>
      <c r="O569" s="197"/>
      <c r="P569" s="197"/>
      <c r="Q569" s="197"/>
      <c r="R569" s="197"/>
      <c r="S569" s="197"/>
      <c r="T569" s="197"/>
    </row>
    <row r="570" ht="15.75" customHeight="1">
      <c r="E570" s="197"/>
      <c r="F570" s="197"/>
      <c r="G570" s="197"/>
      <c r="H570" s="197"/>
      <c r="I570" s="197"/>
      <c r="J570" s="197"/>
      <c r="K570" s="197"/>
      <c r="L570" s="197"/>
      <c r="M570" s="197"/>
      <c r="N570" s="197"/>
      <c r="O570" s="197"/>
      <c r="P570" s="197"/>
      <c r="Q570" s="197"/>
      <c r="R570" s="197"/>
      <c r="S570" s="197"/>
      <c r="T570" s="197"/>
    </row>
    <row r="571" ht="15.75" customHeight="1">
      <c r="E571" s="197"/>
      <c r="F571" s="197"/>
      <c r="G571" s="197"/>
      <c r="H571" s="197"/>
      <c r="I571" s="197"/>
      <c r="J571" s="197"/>
      <c r="K571" s="197"/>
      <c r="L571" s="197"/>
      <c r="M571" s="197"/>
      <c r="N571" s="197"/>
      <c r="O571" s="197"/>
      <c r="P571" s="197"/>
      <c r="Q571" s="197"/>
      <c r="R571" s="197"/>
      <c r="S571" s="197"/>
      <c r="T571" s="197"/>
    </row>
    <row r="572" ht="15.75" customHeight="1">
      <c r="E572" s="197"/>
      <c r="F572" s="197"/>
      <c r="G572" s="197"/>
      <c r="H572" s="197"/>
      <c r="I572" s="197"/>
      <c r="J572" s="197"/>
      <c r="K572" s="197"/>
      <c r="L572" s="197"/>
      <c r="M572" s="197"/>
      <c r="N572" s="197"/>
      <c r="O572" s="197"/>
      <c r="P572" s="197"/>
      <c r="Q572" s="197"/>
      <c r="R572" s="197"/>
      <c r="S572" s="197"/>
      <c r="T572" s="197"/>
    </row>
    <row r="573" ht="15.75" customHeight="1">
      <c r="E573" s="197"/>
      <c r="F573" s="197"/>
      <c r="G573" s="197"/>
      <c r="H573" s="197"/>
      <c r="I573" s="197"/>
      <c r="J573" s="197"/>
      <c r="K573" s="197"/>
      <c r="L573" s="197"/>
      <c r="M573" s="197"/>
      <c r="N573" s="197"/>
      <c r="O573" s="197"/>
      <c r="P573" s="197"/>
      <c r="Q573" s="197"/>
      <c r="R573" s="197"/>
      <c r="S573" s="197"/>
      <c r="T573" s="197"/>
    </row>
    <row r="574" ht="15.75" customHeight="1">
      <c r="E574" s="197"/>
      <c r="F574" s="197"/>
      <c r="G574" s="197"/>
      <c r="H574" s="197"/>
      <c r="I574" s="197"/>
      <c r="J574" s="197"/>
      <c r="K574" s="197"/>
      <c r="L574" s="197"/>
      <c r="M574" s="197"/>
      <c r="N574" s="197"/>
      <c r="O574" s="197"/>
      <c r="P574" s="197"/>
      <c r="Q574" s="197"/>
      <c r="R574" s="197"/>
      <c r="S574" s="197"/>
      <c r="T574" s="197"/>
    </row>
    <row r="575" ht="15.75" customHeight="1">
      <c r="E575" s="197"/>
      <c r="F575" s="197"/>
      <c r="G575" s="197"/>
      <c r="H575" s="197"/>
      <c r="I575" s="197"/>
      <c r="J575" s="197"/>
      <c r="K575" s="197"/>
      <c r="L575" s="197"/>
      <c r="M575" s="197"/>
      <c r="N575" s="197"/>
      <c r="O575" s="197"/>
      <c r="P575" s="197"/>
      <c r="Q575" s="197"/>
      <c r="R575" s="197"/>
      <c r="S575" s="197"/>
      <c r="T575" s="197"/>
    </row>
    <row r="576" ht="15.75" customHeight="1">
      <c r="E576" s="197"/>
      <c r="F576" s="197"/>
      <c r="G576" s="197"/>
      <c r="H576" s="197"/>
      <c r="I576" s="197"/>
      <c r="J576" s="197"/>
      <c r="K576" s="197"/>
      <c r="L576" s="197"/>
      <c r="M576" s="197"/>
      <c r="N576" s="197"/>
      <c r="O576" s="197"/>
      <c r="P576" s="197"/>
      <c r="Q576" s="197"/>
      <c r="R576" s="197"/>
      <c r="S576" s="197"/>
      <c r="T576" s="197"/>
    </row>
    <row r="577" ht="15.75" customHeight="1">
      <c r="E577" s="197"/>
      <c r="F577" s="197"/>
      <c r="G577" s="197"/>
      <c r="H577" s="197"/>
      <c r="I577" s="197"/>
      <c r="J577" s="197"/>
      <c r="K577" s="197"/>
      <c r="L577" s="197"/>
      <c r="M577" s="197"/>
      <c r="N577" s="197"/>
      <c r="O577" s="197"/>
      <c r="P577" s="197"/>
      <c r="Q577" s="197"/>
      <c r="R577" s="197"/>
      <c r="S577" s="197"/>
      <c r="T577" s="197"/>
    </row>
    <row r="578" ht="15.75" customHeight="1">
      <c r="E578" s="197"/>
      <c r="F578" s="197"/>
      <c r="G578" s="197"/>
      <c r="H578" s="197"/>
      <c r="I578" s="197"/>
      <c r="J578" s="197"/>
      <c r="K578" s="197"/>
      <c r="L578" s="197"/>
      <c r="M578" s="197"/>
      <c r="N578" s="197"/>
      <c r="O578" s="197"/>
      <c r="P578" s="197"/>
      <c r="Q578" s="197"/>
      <c r="R578" s="197"/>
      <c r="S578" s="197"/>
      <c r="T578" s="197"/>
    </row>
    <row r="579" ht="15.75" customHeight="1">
      <c r="E579" s="197"/>
      <c r="F579" s="197"/>
      <c r="G579" s="197"/>
      <c r="H579" s="197"/>
      <c r="I579" s="197"/>
      <c r="J579" s="197"/>
      <c r="K579" s="197"/>
      <c r="L579" s="197"/>
      <c r="M579" s="197"/>
      <c r="N579" s="197"/>
      <c r="O579" s="197"/>
      <c r="P579" s="197"/>
      <c r="Q579" s="197"/>
      <c r="R579" s="197"/>
      <c r="S579" s="197"/>
      <c r="T579" s="197"/>
    </row>
    <row r="580" ht="15.75" customHeight="1">
      <c r="E580" s="197"/>
      <c r="F580" s="197"/>
      <c r="G580" s="197"/>
      <c r="H580" s="197"/>
      <c r="I580" s="197"/>
      <c r="J580" s="197"/>
      <c r="K580" s="197"/>
      <c r="L580" s="197"/>
      <c r="M580" s="197"/>
      <c r="N580" s="197"/>
      <c r="O580" s="197"/>
      <c r="P580" s="197"/>
      <c r="Q580" s="197"/>
      <c r="R580" s="197"/>
      <c r="S580" s="197"/>
      <c r="T580" s="197"/>
    </row>
    <row r="581" ht="15.75" customHeight="1">
      <c r="E581" s="197"/>
      <c r="F581" s="197"/>
      <c r="G581" s="197"/>
      <c r="H581" s="197"/>
      <c r="I581" s="197"/>
      <c r="J581" s="197"/>
      <c r="K581" s="197"/>
      <c r="L581" s="197"/>
      <c r="M581" s="197"/>
      <c r="N581" s="197"/>
      <c r="O581" s="197"/>
      <c r="P581" s="197"/>
      <c r="Q581" s="197"/>
      <c r="R581" s="197"/>
      <c r="S581" s="197"/>
      <c r="T581" s="197"/>
    </row>
    <row r="582" ht="15.75" customHeight="1">
      <c r="E582" s="197"/>
      <c r="F582" s="197"/>
      <c r="G582" s="197"/>
      <c r="H582" s="197"/>
      <c r="I582" s="197"/>
      <c r="J582" s="197"/>
      <c r="K582" s="197"/>
      <c r="L582" s="197"/>
      <c r="M582" s="197"/>
      <c r="N582" s="197"/>
      <c r="O582" s="197"/>
      <c r="P582" s="197"/>
      <c r="Q582" s="197"/>
      <c r="R582" s="197"/>
      <c r="S582" s="197"/>
      <c r="T582" s="197"/>
    </row>
    <row r="583" ht="15.75" customHeight="1">
      <c r="E583" s="197"/>
      <c r="F583" s="197"/>
      <c r="G583" s="197"/>
      <c r="H583" s="197"/>
      <c r="I583" s="197"/>
      <c r="J583" s="197"/>
      <c r="K583" s="197"/>
      <c r="L583" s="197"/>
      <c r="M583" s="197"/>
      <c r="N583" s="197"/>
      <c r="O583" s="197"/>
      <c r="P583" s="197"/>
      <c r="Q583" s="197"/>
      <c r="R583" s="197"/>
      <c r="S583" s="197"/>
      <c r="T583" s="197"/>
    </row>
    <row r="584" ht="15.75" customHeight="1">
      <c r="E584" s="197"/>
      <c r="F584" s="197"/>
      <c r="G584" s="197"/>
      <c r="H584" s="197"/>
      <c r="I584" s="197"/>
      <c r="J584" s="197"/>
      <c r="K584" s="197"/>
      <c r="L584" s="197"/>
      <c r="M584" s="197"/>
      <c r="N584" s="197"/>
      <c r="O584" s="197"/>
      <c r="P584" s="197"/>
      <c r="Q584" s="197"/>
      <c r="R584" s="197"/>
      <c r="S584" s="197"/>
      <c r="T584" s="197"/>
    </row>
    <row r="585" ht="15.75" customHeight="1">
      <c r="E585" s="197"/>
      <c r="F585" s="197"/>
      <c r="G585" s="197"/>
      <c r="H585" s="197"/>
      <c r="I585" s="197"/>
      <c r="J585" s="197"/>
      <c r="K585" s="197"/>
      <c r="L585" s="197"/>
      <c r="M585" s="197"/>
      <c r="N585" s="197"/>
      <c r="O585" s="197"/>
      <c r="P585" s="197"/>
      <c r="Q585" s="197"/>
      <c r="R585" s="197"/>
      <c r="S585" s="197"/>
      <c r="T585" s="197"/>
    </row>
    <row r="586" ht="15.75" customHeight="1">
      <c r="E586" s="197"/>
      <c r="F586" s="197"/>
      <c r="G586" s="197"/>
      <c r="H586" s="197"/>
      <c r="I586" s="197"/>
      <c r="J586" s="197"/>
      <c r="K586" s="197"/>
      <c r="L586" s="197"/>
      <c r="M586" s="197"/>
      <c r="N586" s="197"/>
      <c r="O586" s="197"/>
      <c r="P586" s="197"/>
      <c r="Q586" s="197"/>
      <c r="R586" s="197"/>
      <c r="S586" s="197"/>
      <c r="T586" s="197"/>
    </row>
    <row r="587" ht="15.75" customHeight="1">
      <c r="E587" s="197"/>
      <c r="F587" s="197"/>
      <c r="G587" s="197"/>
      <c r="H587" s="197"/>
      <c r="I587" s="197"/>
      <c r="J587" s="197"/>
      <c r="K587" s="197"/>
      <c r="L587" s="197"/>
      <c r="M587" s="197"/>
      <c r="N587" s="197"/>
      <c r="O587" s="197"/>
      <c r="P587" s="197"/>
      <c r="Q587" s="197"/>
      <c r="R587" s="197"/>
      <c r="S587" s="197"/>
      <c r="T587" s="197"/>
    </row>
    <row r="588" ht="15.75" customHeight="1">
      <c r="E588" s="197"/>
      <c r="F588" s="197"/>
      <c r="G588" s="197"/>
      <c r="H588" s="197"/>
      <c r="I588" s="197"/>
      <c r="J588" s="197"/>
      <c r="K588" s="197"/>
      <c r="L588" s="197"/>
      <c r="M588" s="197"/>
      <c r="N588" s="197"/>
      <c r="O588" s="197"/>
      <c r="P588" s="197"/>
      <c r="Q588" s="197"/>
      <c r="R588" s="197"/>
      <c r="S588" s="197"/>
      <c r="T588" s="197"/>
    </row>
    <row r="589" ht="15.75" customHeight="1">
      <c r="E589" s="197"/>
      <c r="F589" s="197"/>
      <c r="G589" s="197"/>
      <c r="H589" s="197"/>
      <c r="I589" s="197"/>
      <c r="J589" s="197"/>
      <c r="K589" s="197"/>
      <c r="L589" s="197"/>
      <c r="M589" s="197"/>
      <c r="N589" s="197"/>
      <c r="O589" s="197"/>
      <c r="P589" s="197"/>
      <c r="Q589" s="197"/>
      <c r="R589" s="197"/>
      <c r="S589" s="197"/>
      <c r="T589" s="197"/>
    </row>
    <row r="590" ht="15.75" customHeight="1">
      <c r="E590" s="197"/>
      <c r="F590" s="197"/>
      <c r="G590" s="197"/>
      <c r="H590" s="197"/>
      <c r="I590" s="197"/>
      <c r="J590" s="197"/>
      <c r="K590" s="197"/>
      <c r="L590" s="197"/>
      <c r="M590" s="197"/>
      <c r="N590" s="197"/>
      <c r="O590" s="197"/>
      <c r="P590" s="197"/>
      <c r="Q590" s="197"/>
      <c r="R590" s="197"/>
      <c r="S590" s="197"/>
      <c r="T590" s="197"/>
    </row>
    <row r="591" ht="15.75" customHeight="1">
      <c r="E591" s="197"/>
      <c r="F591" s="197"/>
      <c r="G591" s="197"/>
      <c r="H591" s="197"/>
      <c r="I591" s="197"/>
      <c r="J591" s="197"/>
      <c r="K591" s="197"/>
      <c r="L591" s="197"/>
      <c r="M591" s="197"/>
      <c r="N591" s="197"/>
      <c r="O591" s="197"/>
      <c r="P591" s="197"/>
      <c r="Q591" s="197"/>
      <c r="R591" s="197"/>
      <c r="S591" s="197"/>
      <c r="T591" s="197"/>
    </row>
    <row r="592" ht="15.75" customHeight="1">
      <c r="E592" s="197"/>
      <c r="F592" s="197"/>
      <c r="G592" s="197"/>
      <c r="H592" s="197"/>
      <c r="I592" s="197"/>
      <c r="J592" s="197"/>
      <c r="K592" s="197"/>
      <c r="L592" s="197"/>
      <c r="M592" s="197"/>
      <c r="N592" s="197"/>
      <c r="O592" s="197"/>
      <c r="P592" s="197"/>
      <c r="Q592" s="197"/>
      <c r="R592" s="197"/>
      <c r="S592" s="197"/>
      <c r="T592" s="197"/>
    </row>
    <row r="593" ht="15.75" customHeight="1">
      <c r="E593" s="197"/>
      <c r="F593" s="197"/>
      <c r="G593" s="197"/>
      <c r="H593" s="197"/>
      <c r="I593" s="197"/>
      <c r="J593" s="197"/>
      <c r="K593" s="197"/>
      <c r="L593" s="197"/>
      <c r="M593" s="197"/>
      <c r="N593" s="197"/>
      <c r="O593" s="197"/>
      <c r="P593" s="197"/>
      <c r="Q593" s="197"/>
      <c r="R593" s="197"/>
      <c r="S593" s="197"/>
      <c r="T593" s="197"/>
    </row>
    <row r="594" ht="15.75" customHeight="1">
      <c r="E594" s="197"/>
      <c r="F594" s="197"/>
      <c r="G594" s="197"/>
      <c r="H594" s="197"/>
      <c r="I594" s="197"/>
      <c r="J594" s="197"/>
      <c r="K594" s="197"/>
      <c r="L594" s="197"/>
      <c r="M594" s="197"/>
      <c r="N594" s="197"/>
      <c r="O594" s="197"/>
      <c r="P594" s="197"/>
      <c r="Q594" s="197"/>
      <c r="R594" s="197"/>
      <c r="S594" s="197"/>
      <c r="T594" s="197"/>
    </row>
    <row r="595" ht="15.75" customHeight="1">
      <c r="E595" s="197"/>
      <c r="F595" s="197"/>
      <c r="G595" s="197"/>
      <c r="H595" s="197"/>
      <c r="I595" s="197"/>
      <c r="J595" s="197"/>
      <c r="K595" s="197"/>
      <c r="L595" s="197"/>
      <c r="M595" s="197"/>
      <c r="N595" s="197"/>
      <c r="O595" s="197"/>
      <c r="P595" s="197"/>
      <c r="Q595" s="197"/>
      <c r="R595" s="197"/>
      <c r="S595" s="197"/>
      <c r="T595" s="197"/>
    </row>
    <row r="596" ht="15.75" customHeight="1">
      <c r="E596" s="197"/>
      <c r="F596" s="197"/>
      <c r="G596" s="197"/>
      <c r="H596" s="197"/>
      <c r="I596" s="197"/>
      <c r="J596" s="197"/>
      <c r="K596" s="197"/>
      <c r="L596" s="197"/>
      <c r="M596" s="197"/>
      <c r="N596" s="197"/>
      <c r="O596" s="197"/>
      <c r="P596" s="197"/>
      <c r="Q596" s="197"/>
      <c r="R596" s="197"/>
      <c r="S596" s="197"/>
      <c r="T596" s="197"/>
    </row>
    <row r="597" ht="15.75" customHeight="1">
      <c r="E597" s="197"/>
      <c r="F597" s="197"/>
      <c r="G597" s="197"/>
      <c r="H597" s="197"/>
      <c r="I597" s="197"/>
      <c r="J597" s="197"/>
      <c r="K597" s="197"/>
      <c r="L597" s="197"/>
      <c r="M597" s="197"/>
      <c r="N597" s="197"/>
      <c r="O597" s="197"/>
      <c r="P597" s="197"/>
      <c r="Q597" s="197"/>
      <c r="R597" s="197"/>
      <c r="S597" s="197"/>
      <c r="T597" s="197"/>
    </row>
    <row r="598" ht="15.75" customHeight="1">
      <c r="E598" s="197"/>
      <c r="F598" s="197"/>
      <c r="G598" s="197"/>
      <c r="H598" s="197"/>
      <c r="I598" s="197"/>
      <c r="J598" s="197"/>
      <c r="K598" s="197"/>
      <c r="L598" s="197"/>
      <c r="M598" s="197"/>
      <c r="N598" s="197"/>
      <c r="O598" s="197"/>
      <c r="P598" s="197"/>
      <c r="Q598" s="197"/>
      <c r="R598" s="197"/>
      <c r="S598" s="197"/>
      <c r="T598" s="197"/>
    </row>
    <row r="599" ht="15.75" customHeight="1">
      <c r="E599" s="197"/>
      <c r="F599" s="197"/>
      <c r="G599" s="197"/>
      <c r="H599" s="197"/>
      <c r="I599" s="197"/>
      <c r="J599" s="197"/>
      <c r="K599" s="197"/>
      <c r="L599" s="197"/>
      <c r="M599" s="197"/>
      <c r="N599" s="197"/>
      <c r="O599" s="197"/>
      <c r="P599" s="197"/>
      <c r="Q599" s="197"/>
      <c r="R599" s="197"/>
      <c r="S599" s="197"/>
      <c r="T599" s="197"/>
    </row>
    <row r="600" ht="15.75" customHeight="1">
      <c r="E600" s="197"/>
      <c r="F600" s="197"/>
      <c r="G600" s="197"/>
      <c r="H600" s="197"/>
      <c r="I600" s="197"/>
      <c r="J600" s="197"/>
      <c r="K600" s="197"/>
      <c r="L600" s="197"/>
      <c r="M600" s="197"/>
      <c r="N600" s="197"/>
      <c r="O600" s="197"/>
      <c r="P600" s="197"/>
      <c r="Q600" s="197"/>
      <c r="R600" s="197"/>
      <c r="S600" s="197"/>
      <c r="T600" s="197"/>
    </row>
    <row r="601" ht="15.75" customHeight="1">
      <c r="E601" s="197"/>
      <c r="F601" s="197"/>
      <c r="G601" s="197"/>
      <c r="H601" s="197"/>
      <c r="I601" s="197"/>
      <c r="J601" s="197"/>
      <c r="K601" s="197"/>
      <c r="L601" s="197"/>
      <c r="M601" s="197"/>
      <c r="N601" s="197"/>
      <c r="O601" s="197"/>
      <c r="P601" s="197"/>
      <c r="Q601" s="197"/>
      <c r="R601" s="197"/>
      <c r="S601" s="197"/>
      <c r="T601" s="197"/>
    </row>
    <row r="602" ht="15.75" customHeight="1">
      <c r="E602" s="197"/>
      <c r="F602" s="197"/>
      <c r="G602" s="197"/>
      <c r="H602" s="197"/>
      <c r="I602" s="197"/>
      <c r="J602" s="197"/>
      <c r="K602" s="197"/>
      <c r="L602" s="197"/>
      <c r="M602" s="197"/>
      <c r="N602" s="197"/>
      <c r="O602" s="197"/>
      <c r="P602" s="197"/>
      <c r="Q602" s="197"/>
      <c r="R602" s="197"/>
      <c r="S602" s="197"/>
      <c r="T602" s="197"/>
    </row>
    <row r="603" ht="15.75" customHeight="1">
      <c r="E603" s="197"/>
      <c r="F603" s="197"/>
      <c r="G603" s="197"/>
      <c r="H603" s="197"/>
      <c r="I603" s="197"/>
      <c r="J603" s="197"/>
      <c r="K603" s="197"/>
      <c r="L603" s="197"/>
      <c r="M603" s="197"/>
      <c r="N603" s="197"/>
      <c r="O603" s="197"/>
      <c r="P603" s="197"/>
      <c r="Q603" s="197"/>
      <c r="R603" s="197"/>
      <c r="S603" s="197"/>
      <c r="T603" s="197"/>
    </row>
    <row r="604" ht="15.75" customHeight="1">
      <c r="E604" s="197"/>
      <c r="F604" s="197"/>
      <c r="G604" s="197"/>
      <c r="H604" s="197"/>
      <c r="I604" s="197"/>
      <c r="J604" s="197"/>
      <c r="K604" s="197"/>
      <c r="L604" s="197"/>
      <c r="M604" s="197"/>
      <c r="N604" s="197"/>
      <c r="O604" s="197"/>
      <c r="P604" s="197"/>
      <c r="Q604" s="197"/>
      <c r="R604" s="197"/>
      <c r="S604" s="197"/>
      <c r="T604" s="197"/>
    </row>
    <row r="605" ht="15.75" customHeight="1">
      <c r="E605" s="197"/>
      <c r="F605" s="197"/>
      <c r="G605" s="197"/>
      <c r="H605" s="197"/>
      <c r="I605" s="197"/>
      <c r="J605" s="197"/>
      <c r="K605" s="197"/>
      <c r="L605" s="197"/>
      <c r="M605" s="197"/>
      <c r="N605" s="197"/>
      <c r="O605" s="197"/>
      <c r="P605" s="197"/>
      <c r="Q605" s="197"/>
      <c r="R605" s="197"/>
      <c r="S605" s="197"/>
      <c r="T605" s="197"/>
    </row>
    <row r="606" ht="15.75" customHeight="1">
      <c r="E606" s="197"/>
      <c r="F606" s="197"/>
      <c r="G606" s="197"/>
      <c r="H606" s="197"/>
      <c r="I606" s="197"/>
      <c r="J606" s="197"/>
      <c r="K606" s="197"/>
      <c r="L606" s="197"/>
      <c r="M606" s="197"/>
      <c r="N606" s="197"/>
      <c r="O606" s="197"/>
      <c r="P606" s="197"/>
      <c r="Q606" s="197"/>
      <c r="R606" s="197"/>
      <c r="S606" s="197"/>
      <c r="T606" s="197"/>
    </row>
    <row r="607" ht="15.75" customHeight="1">
      <c r="E607" s="197"/>
      <c r="F607" s="197"/>
      <c r="G607" s="197"/>
      <c r="H607" s="197"/>
      <c r="I607" s="197"/>
      <c r="J607" s="197"/>
      <c r="K607" s="197"/>
      <c r="L607" s="197"/>
      <c r="M607" s="197"/>
      <c r="N607" s="197"/>
      <c r="O607" s="197"/>
      <c r="P607" s="197"/>
      <c r="Q607" s="197"/>
      <c r="R607" s="197"/>
      <c r="S607" s="197"/>
      <c r="T607" s="197"/>
    </row>
    <row r="608" ht="15.75" customHeight="1">
      <c r="E608" s="197"/>
      <c r="F608" s="197"/>
      <c r="G608" s="197"/>
      <c r="H608" s="197"/>
      <c r="I608" s="197"/>
      <c r="J608" s="197"/>
      <c r="K608" s="197"/>
      <c r="L608" s="197"/>
      <c r="M608" s="197"/>
      <c r="N608" s="197"/>
      <c r="O608" s="197"/>
      <c r="P608" s="197"/>
      <c r="Q608" s="197"/>
      <c r="R608" s="197"/>
      <c r="S608" s="197"/>
      <c r="T608" s="197"/>
    </row>
    <row r="609" ht="15.75" customHeight="1">
      <c r="E609" s="197"/>
      <c r="F609" s="197"/>
      <c r="G609" s="197"/>
      <c r="H609" s="197"/>
      <c r="I609" s="197"/>
      <c r="J609" s="197"/>
      <c r="K609" s="197"/>
      <c r="L609" s="197"/>
      <c r="M609" s="197"/>
      <c r="N609" s="197"/>
      <c r="O609" s="197"/>
      <c r="P609" s="197"/>
      <c r="Q609" s="197"/>
      <c r="R609" s="197"/>
      <c r="S609" s="197"/>
      <c r="T609" s="197"/>
    </row>
    <row r="610" ht="15.75" customHeight="1">
      <c r="E610" s="197"/>
      <c r="F610" s="197"/>
      <c r="G610" s="197"/>
      <c r="H610" s="197"/>
      <c r="I610" s="197"/>
      <c r="J610" s="197"/>
      <c r="K610" s="197"/>
      <c r="L610" s="197"/>
      <c r="M610" s="197"/>
      <c r="N610" s="197"/>
      <c r="O610" s="197"/>
      <c r="P610" s="197"/>
      <c r="Q610" s="197"/>
      <c r="R610" s="197"/>
      <c r="S610" s="197"/>
      <c r="T610" s="197"/>
    </row>
    <row r="611" ht="15.75" customHeight="1">
      <c r="E611" s="197"/>
      <c r="F611" s="197"/>
      <c r="G611" s="197"/>
      <c r="H611" s="197"/>
      <c r="I611" s="197"/>
      <c r="J611" s="197"/>
      <c r="K611" s="197"/>
      <c r="L611" s="197"/>
      <c r="M611" s="197"/>
      <c r="N611" s="197"/>
      <c r="O611" s="197"/>
      <c r="P611" s="197"/>
      <c r="Q611" s="197"/>
      <c r="R611" s="197"/>
      <c r="S611" s="197"/>
      <c r="T611" s="197"/>
    </row>
    <row r="612" ht="15.75" customHeight="1">
      <c r="E612" s="197"/>
      <c r="F612" s="197"/>
      <c r="G612" s="197"/>
      <c r="H612" s="197"/>
      <c r="I612" s="197"/>
      <c r="J612" s="197"/>
      <c r="K612" s="197"/>
      <c r="L612" s="197"/>
      <c r="M612" s="197"/>
      <c r="N612" s="197"/>
      <c r="O612" s="197"/>
      <c r="P612" s="197"/>
      <c r="Q612" s="197"/>
      <c r="R612" s="197"/>
      <c r="S612" s="197"/>
      <c r="T612" s="197"/>
    </row>
    <row r="613" ht="15.75" customHeight="1">
      <c r="E613" s="197"/>
      <c r="F613" s="197"/>
      <c r="G613" s="197"/>
      <c r="H613" s="197"/>
      <c r="I613" s="197"/>
      <c r="J613" s="197"/>
      <c r="K613" s="197"/>
      <c r="L613" s="197"/>
      <c r="M613" s="197"/>
      <c r="N613" s="197"/>
      <c r="O613" s="197"/>
      <c r="P613" s="197"/>
      <c r="Q613" s="197"/>
      <c r="R613" s="197"/>
      <c r="S613" s="197"/>
      <c r="T613" s="197"/>
    </row>
    <row r="614" ht="15.75" customHeight="1">
      <c r="E614" s="197"/>
      <c r="F614" s="197"/>
      <c r="G614" s="197"/>
      <c r="H614" s="197"/>
      <c r="I614" s="197"/>
      <c r="J614" s="197"/>
      <c r="K614" s="197"/>
      <c r="L614" s="197"/>
      <c r="M614" s="197"/>
      <c r="N614" s="197"/>
      <c r="O614" s="197"/>
      <c r="P614" s="197"/>
      <c r="Q614" s="197"/>
      <c r="R614" s="197"/>
      <c r="S614" s="197"/>
      <c r="T614" s="197"/>
    </row>
    <row r="615" ht="15.75" customHeight="1">
      <c r="E615" s="197"/>
      <c r="F615" s="197"/>
      <c r="G615" s="197"/>
      <c r="H615" s="197"/>
      <c r="I615" s="197"/>
      <c r="J615" s="197"/>
      <c r="K615" s="197"/>
      <c r="L615" s="197"/>
      <c r="M615" s="197"/>
      <c r="N615" s="197"/>
      <c r="O615" s="197"/>
      <c r="P615" s="197"/>
      <c r="Q615" s="197"/>
      <c r="R615" s="197"/>
      <c r="S615" s="197"/>
      <c r="T615" s="197"/>
    </row>
    <row r="616" ht="15.75" customHeight="1">
      <c r="E616" s="197"/>
      <c r="F616" s="197"/>
      <c r="G616" s="197"/>
      <c r="H616" s="197"/>
      <c r="I616" s="197"/>
      <c r="J616" s="197"/>
      <c r="K616" s="197"/>
      <c r="L616" s="197"/>
      <c r="M616" s="197"/>
      <c r="N616" s="197"/>
      <c r="O616" s="197"/>
      <c r="P616" s="197"/>
      <c r="Q616" s="197"/>
      <c r="R616" s="197"/>
      <c r="S616" s="197"/>
      <c r="T616" s="197"/>
    </row>
    <row r="617" ht="15.75" customHeight="1">
      <c r="E617" s="197"/>
      <c r="F617" s="197"/>
      <c r="G617" s="197"/>
      <c r="H617" s="197"/>
      <c r="I617" s="197"/>
      <c r="J617" s="197"/>
      <c r="K617" s="197"/>
      <c r="L617" s="197"/>
      <c r="M617" s="197"/>
      <c r="N617" s="197"/>
      <c r="O617" s="197"/>
      <c r="P617" s="197"/>
      <c r="Q617" s="197"/>
      <c r="R617" s="197"/>
      <c r="S617" s="197"/>
      <c r="T617" s="197"/>
    </row>
    <row r="618" ht="15.75" customHeight="1">
      <c r="E618" s="197"/>
      <c r="F618" s="197"/>
      <c r="G618" s="197"/>
      <c r="H618" s="197"/>
      <c r="I618" s="197"/>
      <c r="J618" s="197"/>
      <c r="K618" s="197"/>
      <c r="L618" s="197"/>
      <c r="M618" s="197"/>
      <c r="N618" s="197"/>
      <c r="O618" s="197"/>
      <c r="P618" s="197"/>
      <c r="Q618" s="197"/>
      <c r="R618" s="197"/>
      <c r="S618" s="197"/>
      <c r="T618" s="197"/>
    </row>
    <row r="619" ht="15.75" customHeight="1">
      <c r="E619" s="197"/>
      <c r="F619" s="197"/>
      <c r="G619" s="197"/>
      <c r="H619" s="197"/>
      <c r="I619" s="197"/>
      <c r="J619" s="197"/>
      <c r="K619" s="197"/>
      <c r="L619" s="197"/>
      <c r="M619" s="197"/>
      <c r="N619" s="197"/>
      <c r="O619" s="197"/>
      <c r="P619" s="197"/>
      <c r="Q619" s="197"/>
      <c r="R619" s="197"/>
      <c r="S619" s="197"/>
      <c r="T619" s="197"/>
    </row>
    <row r="620" ht="15.75" customHeight="1">
      <c r="E620" s="197"/>
      <c r="F620" s="197"/>
      <c r="G620" s="197"/>
      <c r="H620" s="197"/>
      <c r="I620" s="197"/>
      <c r="J620" s="197"/>
      <c r="K620" s="197"/>
      <c r="L620" s="197"/>
      <c r="M620" s="197"/>
      <c r="N620" s="197"/>
      <c r="O620" s="197"/>
      <c r="P620" s="197"/>
      <c r="Q620" s="197"/>
      <c r="R620" s="197"/>
      <c r="S620" s="197"/>
      <c r="T620" s="197"/>
    </row>
    <row r="621" ht="15.75" customHeight="1">
      <c r="E621" s="197"/>
      <c r="F621" s="197"/>
      <c r="G621" s="197"/>
      <c r="H621" s="197"/>
      <c r="I621" s="197"/>
      <c r="J621" s="197"/>
      <c r="K621" s="197"/>
      <c r="L621" s="197"/>
      <c r="M621" s="197"/>
      <c r="N621" s="197"/>
      <c r="O621" s="197"/>
      <c r="P621" s="197"/>
      <c r="Q621" s="197"/>
      <c r="R621" s="197"/>
      <c r="S621" s="197"/>
      <c r="T621" s="197"/>
    </row>
    <row r="622" ht="15.75" customHeight="1">
      <c r="E622" s="197"/>
      <c r="F622" s="197"/>
      <c r="G622" s="197"/>
      <c r="H622" s="197"/>
      <c r="I622" s="197"/>
      <c r="J622" s="197"/>
      <c r="K622" s="197"/>
      <c r="L622" s="197"/>
      <c r="M622" s="197"/>
      <c r="N622" s="197"/>
      <c r="O622" s="197"/>
      <c r="P622" s="197"/>
      <c r="Q622" s="197"/>
      <c r="R622" s="197"/>
      <c r="S622" s="197"/>
      <c r="T622" s="197"/>
    </row>
    <row r="623" ht="15.75" customHeight="1">
      <c r="E623" s="197"/>
      <c r="F623" s="197"/>
      <c r="G623" s="197"/>
      <c r="H623" s="197"/>
      <c r="I623" s="197"/>
      <c r="J623" s="197"/>
      <c r="K623" s="197"/>
      <c r="L623" s="197"/>
      <c r="M623" s="197"/>
      <c r="N623" s="197"/>
      <c r="O623" s="197"/>
      <c r="P623" s="197"/>
      <c r="Q623" s="197"/>
      <c r="R623" s="197"/>
      <c r="S623" s="197"/>
      <c r="T623" s="197"/>
    </row>
    <row r="624" ht="15.75" customHeight="1">
      <c r="E624" s="197"/>
      <c r="F624" s="197"/>
      <c r="G624" s="197"/>
      <c r="H624" s="197"/>
      <c r="I624" s="197"/>
      <c r="J624" s="197"/>
      <c r="K624" s="197"/>
      <c r="L624" s="197"/>
      <c r="M624" s="197"/>
      <c r="N624" s="197"/>
      <c r="O624" s="197"/>
      <c r="P624" s="197"/>
      <c r="Q624" s="197"/>
      <c r="R624" s="197"/>
      <c r="S624" s="197"/>
      <c r="T624" s="197"/>
    </row>
    <row r="625" ht="15.75" customHeight="1">
      <c r="E625" s="197"/>
      <c r="F625" s="197"/>
      <c r="G625" s="197"/>
      <c r="H625" s="197"/>
      <c r="I625" s="197"/>
      <c r="J625" s="197"/>
      <c r="K625" s="197"/>
      <c r="L625" s="197"/>
      <c r="M625" s="197"/>
      <c r="N625" s="197"/>
      <c r="O625" s="197"/>
      <c r="P625" s="197"/>
      <c r="Q625" s="197"/>
      <c r="R625" s="197"/>
      <c r="S625" s="197"/>
      <c r="T625" s="197"/>
    </row>
    <row r="626" ht="15.75" customHeight="1">
      <c r="E626" s="197"/>
      <c r="F626" s="197"/>
      <c r="G626" s="197"/>
      <c r="H626" s="197"/>
      <c r="I626" s="197"/>
      <c r="J626" s="197"/>
      <c r="K626" s="197"/>
      <c r="L626" s="197"/>
      <c r="M626" s="197"/>
      <c r="N626" s="197"/>
      <c r="O626" s="197"/>
      <c r="P626" s="197"/>
      <c r="Q626" s="197"/>
      <c r="R626" s="197"/>
      <c r="S626" s="197"/>
      <c r="T626" s="197"/>
    </row>
    <row r="627" ht="15.75" customHeight="1">
      <c r="E627" s="197"/>
      <c r="F627" s="197"/>
      <c r="G627" s="197"/>
      <c r="H627" s="197"/>
      <c r="I627" s="197"/>
      <c r="J627" s="197"/>
      <c r="K627" s="197"/>
      <c r="L627" s="197"/>
      <c r="M627" s="197"/>
      <c r="N627" s="197"/>
      <c r="O627" s="197"/>
      <c r="P627" s="197"/>
      <c r="Q627" s="197"/>
      <c r="R627" s="197"/>
      <c r="S627" s="197"/>
      <c r="T627" s="197"/>
    </row>
    <row r="628" ht="15.75" customHeight="1">
      <c r="E628" s="197"/>
      <c r="F628" s="197"/>
      <c r="G628" s="197"/>
      <c r="H628" s="197"/>
      <c r="I628" s="197"/>
      <c r="J628" s="197"/>
      <c r="K628" s="197"/>
      <c r="L628" s="197"/>
      <c r="M628" s="197"/>
      <c r="N628" s="197"/>
      <c r="O628" s="197"/>
      <c r="P628" s="197"/>
      <c r="Q628" s="197"/>
      <c r="R628" s="197"/>
      <c r="S628" s="197"/>
      <c r="T628" s="197"/>
    </row>
    <row r="629" ht="15.75" customHeight="1">
      <c r="E629" s="197"/>
      <c r="F629" s="197"/>
      <c r="G629" s="197"/>
      <c r="H629" s="197"/>
      <c r="I629" s="197"/>
      <c r="J629" s="197"/>
      <c r="K629" s="197"/>
      <c r="L629" s="197"/>
      <c r="M629" s="197"/>
      <c r="N629" s="197"/>
      <c r="O629" s="197"/>
      <c r="P629" s="197"/>
      <c r="Q629" s="197"/>
      <c r="R629" s="197"/>
      <c r="S629" s="197"/>
      <c r="T629" s="197"/>
    </row>
    <row r="630" ht="15.75" customHeight="1">
      <c r="E630" s="197"/>
      <c r="F630" s="197"/>
      <c r="G630" s="197"/>
      <c r="H630" s="197"/>
      <c r="I630" s="197"/>
      <c r="J630" s="197"/>
      <c r="K630" s="197"/>
      <c r="L630" s="197"/>
      <c r="M630" s="197"/>
      <c r="N630" s="197"/>
      <c r="O630" s="197"/>
      <c r="P630" s="197"/>
      <c r="Q630" s="197"/>
      <c r="R630" s="197"/>
      <c r="S630" s="197"/>
      <c r="T630" s="197"/>
    </row>
    <row r="631" ht="15.75" customHeight="1">
      <c r="E631" s="197"/>
      <c r="F631" s="197"/>
      <c r="G631" s="197"/>
      <c r="H631" s="197"/>
      <c r="I631" s="197"/>
      <c r="J631" s="197"/>
      <c r="K631" s="197"/>
      <c r="L631" s="197"/>
      <c r="M631" s="197"/>
      <c r="N631" s="197"/>
      <c r="O631" s="197"/>
      <c r="P631" s="197"/>
      <c r="Q631" s="197"/>
      <c r="R631" s="197"/>
      <c r="S631" s="197"/>
      <c r="T631" s="197"/>
    </row>
    <row r="632" ht="15.75" customHeight="1">
      <c r="E632" s="197"/>
      <c r="F632" s="197"/>
      <c r="G632" s="197"/>
      <c r="H632" s="197"/>
      <c r="I632" s="197"/>
      <c r="J632" s="197"/>
      <c r="K632" s="197"/>
      <c r="L632" s="197"/>
      <c r="M632" s="197"/>
      <c r="N632" s="197"/>
      <c r="O632" s="197"/>
      <c r="P632" s="197"/>
      <c r="Q632" s="197"/>
      <c r="R632" s="197"/>
      <c r="S632" s="197"/>
      <c r="T632" s="197"/>
    </row>
    <row r="633" ht="15.75" customHeight="1">
      <c r="E633" s="197"/>
      <c r="F633" s="197"/>
      <c r="G633" s="197"/>
      <c r="H633" s="197"/>
      <c r="I633" s="197"/>
      <c r="J633" s="197"/>
      <c r="K633" s="197"/>
      <c r="L633" s="197"/>
      <c r="M633" s="197"/>
      <c r="N633" s="197"/>
      <c r="O633" s="197"/>
      <c r="P633" s="197"/>
      <c r="Q633" s="197"/>
      <c r="R633" s="197"/>
      <c r="S633" s="197"/>
      <c r="T633" s="197"/>
    </row>
    <row r="634" ht="15.75" customHeight="1">
      <c r="E634" s="197"/>
      <c r="F634" s="197"/>
      <c r="G634" s="197"/>
      <c r="H634" s="197"/>
      <c r="I634" s="197"/>
      <c r="J634" s="197"/>
      <c r="K634" s="197"/>
      <c r="L634" s="197"/>
      <c r="M634" s="197"/>
      <c r="N634" s="197"/>
      <c r="O634" s="197"/>
      <c r="P634" s="197"/>
      <c r="Q634" s="197"/>
      <c r="R634" s="197"/>
      <c r="S634" s="197"/>
      <c r="T634" s="197"/>
    </row>
    <row r="635" ht="15.75" customHeight="1">
      <c r="E635" s="197"/>
      <c r="F635" s="197"/>
      <c r="G635" s="197"/>
      <c r="H635" s="197"/>
      <c r="I635" s="197"/>
      <c r="J635" s="197"/>
      <c r="K635" s="197"/>
      <c r="L635" s="197"/>
      <c r="M635" s="197"/>
      <c r="N635" s="197"/>
      <c r="O635" s="197"/>
      <c r="P635" s="197"/>
      <c r="Q635" s="197"/>
      <c r="R635" s="197"/>
      <c r="S635" s="197"/>
      <c r="T635" s="197"/>
    </row>
    <row r="636" ht="15.75" customHeight="1">
      <c r="E636" s="197"/>
      <c r="F636" s="197"/>
      <c r="G636" s="197"/>
      <c r="H636" s="197"/>
      <c r="I636" s="197"/>
      <c r="J636" s="197"/>
      <c r="K636" s="197"/>
      <c r="L636" s="197"/>
      <c r="M636" s="197"/>
      <c r="N636" s="197"/>
      <c r="O636" s="197"/>
      <c r="P636" s="197"/>
      <c r="Q636" s="197"/>
      <c r="R636" s="197"/>
      <c r="S636" s="197"/>
      <c r="T636" s="197"/>
    </row>
    <row r="637" ht="15.75" customHeight="1">
      <c r="E637" s="197"/>
      <c r="F637" s="197"/>
      <c r="G637" s="197"/>
      <c r="H637" s="197"/>
      <c r="I637" s="197"/>
      <c r="J637" s="197"/>
      <c r="K637" s="197"/>
      <c r="L637" s="197"/>
      <c r="M637" s="197"/>
      <c r="N637" s="197"/>
      <c r="O637" s="197"/>
      <c r="P637" s="197"/>
      <c r="Q637" s="197"/>
      <c r="R637" s="197"/>
      <c r="S637" s="197"/>
      <c r="T637" s="197"/>
    </row>
    <row r="638" ht="15.75" customHeight="1">
      <c r="E638" s="197"/>
      <c r="F638" s="197"/>
      <c r="G638" s="197"/>
      <c r="H638" s="197"/>
      <c r="I638" s="197"/>
      <c r="J638" s="197"/>
      <c r="K638" s="197"/>
      <c r="L638" s="197"/>
      <c r="M638" s="197"/>
      <c r="N638" s="197"/>
      <c r="O638" s="197"/>
      <c r="P638" s="197"/>
      <c r="Q638" s="197"/>
      <c r="R638" s="197"/>
      <c r="S638" s="197"/>
      <c r="T638" s="197"/>
    </row>
    <row r="639" ht="15.75" customHeight="1">
      <c r="E639" s="197"/>
      <c r="F639" s="197"/>
      <c r="G639" s="197"/>
      <c r="H639" s="197"/>
      <c r="I639" s="197"/>
      <c r="J639" s="197"/>
      <c r="K639" s="197"/>
      <c r="L639" s="197"/>
      <c r="M639" s="197"/>
      <c r="N639" s="197"/>
      <c r="O639" s="197"/>
      <c r="P639" s="197"/>
      <c r="Q639" s="197"/>
      <c r="R639" s="197"/>
      <c r="S639" s="197"/>
      <c r="T639" s="197"/>
    </row>
    <row r="640" ht="15.75" customHeight="1">
      <c r="E640" s="197"/>
      <c r="F640" s="197"/>
      <c r="G640" s="197"/>
      <c r="H640" s="197"/>
      <c r="I640" s="197"/>
      <c r="J640" s="197"/>
      <c r="K640" s="197"/>
      <c r="L640" s="197"/>
      <c r="M640" s="197"/>
      <c r="N640" s="197"/>
      <c r="O640" s="197"/>
      <c r="P640" s="197"/>
      <c r="Q640" s="197"/>
      <c r="R640" s="197"/>
      <c r="S640" s="197"/>
      <c r="T640" s="197"/>
    </row>
    <row r="641" ht="15.75" customHeight="1">
      <c r="E641" s="197"/>
      <c r="F641" s="197"/>
      <c r="G641" s="197"/>
      <c r="H641" s="197"/>
      <c r="I641" s="197"/>
      <c r="J641" s="197"/>
      <c r="K641" s="197"/>
      <c r="L641" s="197"/>
      <c r="M641" s="197"/>
      <c r="N641" s="197"/>
      <c r="O641" s="197"/>
      <c r="P641" s="197"/>
      <c r="Q641" s="197"/>
      <c r="R641" s="197"/>
      <c r="S641" s="197"/>
      <c r="T641" s="197"/>
    </row>
    <row r="642" ht="15.75" customHeight="1">
      <c r="E642" s="197"/>
      <c r="F642" s="197"/>
      <c r="G642" s="197"/>
      <c r="H642" s="197"/>
      <c r="I642" s="197"/>
      <c r="J642" s="197"/>
      <c r="K642" s="197"/>
      <c r="L642" s="197"/>
      <c r="M642" s="197"/>
      <c r="N642" s="197"/>
      <c r="O642" s="197"/>
      <c r="P642" s="197"/>
      <c r="Q642" s="197"/>
      <c r="R642" s="197"/>
      <c r="S642" s="197"/>
      <c r="T642" s="197"/>
    </row>
    <row r="643" ht="15.75" customHeight="1">
      <c r="E643" s="197"/>
      <c r="F643" s="197"/>
      <c r="G643" s="197"/>
      <c r="H643" s="197"/>
      <c r="I643" s="197"/>
      <c r="J643" s="197"/>
      <c r="K643" s="197"/>
      <c r="L643" s="197"/>
      <c r="M643" s="197"/>
      <c r="N643" s="197"/>
      <c r="O643" s="197"/>
      <c r="P643" s="197"/>
      <c r="Q643" s="197"/>
      <c r="R643" s="197"/>
      <c r="S643" s="197"/>
      <c r="T643" s="197"/>
    </row>
    <row r="644" ht="15.75" customHeight="1">
      <c r="E644" s="197"/>
      <c r="F644" s="197"/>
      <c r="G644" s="197"/>
      <c r="H644" s="197"/>
      <c r="I644" s="197"/>
      <c r="J644" s="197"/>
      <c r="K644" s="197"/>
      <c r="L644" s="197"/>
      <c r="M644" s="197"/>
      <c r="N644" s="197"/>
      <c r="O644" s="197"/>
      <c r="P644" s="197"/>
      <c r="Q644" s="197"/>
      <c r="R644" s="197"/>
      <c r="S644" s="197"/>
      <c r="T644" s="197"/>
    </row>
    <row r="645" ht="15.75" customHeight="1">
      <c r="E645" s="197"/>
      <c r="F645" s="197"/>
      <c r="G645" s="197"/>
      <c r="H645" s="197"/>
      <c r="I645" s="197"/>
      <c r="J645" s="197"/>
      <c r="K645" s="197"/>
      <c r="L645" s="197"/>
      <c r="M645" s="197"/>
      <c r="N645" s="197"/>
      <c r="O645" s="197"/>
      <c r="P645" s="197"/>
      <c r="Q645" s="197"/>
      <c r="R645" s="197"/>
      <c r="S645" s="197"/>
      <c r="T645" s="197"/>
    </row>
    <row r="646" ht="15.75" customHeight="1">
      <c r="E646" s="197"/>
      <c r="F646" s="197"/>
      <c r="G646" s="197"/>
      <c r="H646" s="197"/>
      <c r="I646" s="197"/>
      <c r="J646" s="197"/>
      <c r="K646" s="197"/>
      <c r="L646" s="197"/>
      <c r="M646" s="197"/>
      <c r="N646" s="197"/>
      <c r="O646" s="197"/>
      <c r="P646" s="197"/>
      <c r="Q646" s="197"/>
      <c r="R646" s="197"/>
      <c r="S646" s="197"/>
      <c r="T646" s="197"/>
    </row>
    <row r="647" ht="15.75" customHeight="1">
      <c r="E647" s="197"/>
      <c r="F647" s="197"/>
      <c r="G647" s="197"/>
      <c r="H647" s="197"/>
      <c r="I647" s="197"/>
      <c r="J647" s="197"/>
      <c r="K647" s="197"/>
      <c r="L647" s="197"/>
      <c r="M647" s="197"/>
      <c r="N647" s="197"/>
      <c r="O647" s="197"/>
      <c r="P647" s="197"/>
      <c r="Q647" s="197"/>
      <c r="R647" s="197"/>
      <c r="S647" s="197"/>
      <c r="T647" s="197"/>
    </row>
    <row r="648" ht="15.75" customHeight="1">
      <c r="E648" s="197"/>
      <c r="F648" s="197"/>
      <c r="G648" s="197"/>
      <c r="H648" s="197"/>
      <c r="I648" s="197"/>
      <c r="J648" s="197"/>
      <c r="K648" s="197"/>
      <c r="L648" s="197"/>
      <c r="M648" s="197"/>
      <c r="N648" s="197"/>
      <c r="O648" s="197"/>
      <c r="P648" s="197"/>
      <c r="Q648" s="197"/>
      <c r="R648" s="197"/>
      <c r="S648" s="197"/>
      <c r="T648" s="197"/>
    </row>
    <row r="649" ht="15.75" customHeight="1">
      <c r="E649" s="197"/>
      <c r="F649" s="197"/>
      <c r="G649" s="197"/>
      <c r="H649" s="197"/>
      <c r="I649" s="197"/>
      <c r="J649" s="197"/>
      <c r="K649" s="197"/>
      <c r="L649" s="197"/>
      <c r="M649" s="197"/>
      <c r="N649" s="197"/>
      <c r="O649" s="197"/>
      <c r="P649" s="197"/>
      <c r="Q649" s="197"/>
      <c r="R649" s="197"/>
      <c r="S649" s="197"/>
      <c r="T649" s="197"/>
    </row>
    <row r="650" ht="15.75" customHeight="1">
      <c r="E650" s="197"/>
      <c r="F650" s="197"/>
      <c r="G650" s="197"/>
      <c r="H650" s="197"/>
      <c r="I650" s="197"/>
      <c r="J650" s="197"/>
      <c r="K650" s="197"/>
      <c r="L650" s="197"/>
      <c r="M650" s="197"/>
      <c r="N650" s="197"/>
      <c r="O650" s="197"/>
      <c r="P650" s="197"/>
      <c r="Q650" s="197"/>
      <c r="R650" s="197"/>
      <c r="S650" s="197"/>
      <c r="T650" s="197"/>
    </row>
    <row r="651" ht="15.75" customHeight="1">
      <c r="E651" s="197"/>
      <c r="F651" s="197"/>
      <c r="G651" s="197"/>
      <c r="H651" s="197"/>
      <c r="I651" s="197"/>
      <c r="J651" s="197"/>
      <c r="K651" s="197"/>
      <c r="L651" s="197"/>
      <c r="M651" s="197"/>
      <c r="N651" s="197"/>
      <c r="O651" s="197"/>
      <c r="P651" s="197"/>
      <c r="Q651" s="197"/>
      <c r="R651" s="197"/>
      <c r="S651" s="197"/>
      <c r="T651" s="197"/>
    </row>
    <row r="652" ht="15.75" customHeight="1">
      <c r="E652" s="197"/>
      <c r="F652" s="197"/>
      <c r="G652" s="197"/>
      <c r="H652" s="197"/>
      <c r="I652" s="197"/>
      <c r="J652" s="197"/>
      <c r="K652" s="197"/>
      <c r="L652" s="197"/>
      <c r="M652" s="197"/>
      <c r="N652" s="197"/>
      <c r="O652" s="197"/>
      <c r="P652" s="197"/>
      <c r="Q652" s="197"/>
      <c r="R652" s="197"/>
      <c r="S652" s="197"/>
      <c r="T652" s="197"/>
    </row>
    <row r="653" ht="15.75" customHeight="1">
      <c r="E653" s="197"/>
      <c r="F653" s="197"/>
      <c r="G653" s="197"/>
      <c r="H653" s="197"/>
      <c r="I653" s="197"/>
      <c r="J653" s="197"/>
      <c r="K653" s="197"/>
      <c r="L653" s="197"/>
      <c r="M653" s="197"/>
      <c r="N653" s="197"/>
      <c r="O653" s="197"/>
      <c r="P653" s="197"/>
      <c r="Q653" s="197"/>
      <c r="R653" s="197"/>
      <c r="S653" s="197"/>
      <c r="T653" s="197"/>
    </row>
    <row r="654" ht="15.75" customHeight="1">
      <c r="E654" s="197"/>
      <c r="F654" s="197"/>
      <c r="G654" s="197"/>
      <c r="H654" s="197"/>
      <c r="I654" s="197"/>
      <c r="J654" s="197"/>
      <c r="K654" s="197"/>
      <c r="L654" s="197"/>
      <c r="M654" s="197"/>
      <c r="N654" s="197"/>
      <c r="O654" s="197"/>
      <c r="P654" s="197"/>
      <c r="Q654" s="197"/>
      <c r="R654" s="197"/>
      <c r="S654" s="197"/>
      <c r="T654" s="197"/>
    </row>
    <row r="655" ht="15.75" customHeight="1">
      <c r="E655" s="197"/>
      <c r="F655" s="197"/>
      <c r="G655" s="197"/>
      <c r="H655" s="197"/>
      <c r="I655" s="197"/>
      <c r="J655" s="197"/>
      <c r="K655" s="197"/>
      <c r="L655" s="197"/>
      <c r="M655" s="197"/>
      <c r="N655" s="197"/>
      <c r="O655" s="197"/>
      <c r="P655" s="197"/>
      <c r="Q655" s="197"/>
      <c r="R655" s="197"/>
      <c r="S655" s="197"/>
      <c r="T655" s="197"/>
    </row>
    <row r="656" ht="15.75" customHeight="1">
      <c r="E656" s="197"/>
      <c r="F656" s="197"/>
      <c r="G656" s="197"/>
      <c r="H656" s="197"/>
      <c r="I656" s="197"/>
      <c r="J656" s="197"/>
      <c r="K656" s="197"/>
      <c r="L656" s="197"/>
      <c r="M656" s="197"/>
      <c r="N656" s="197"/>
      <c r="O656" s="197"/>
      <c r="P656" s="197"/>
      <c r="Q656" s="197"/>
      <c r="R656" s="197"/>
      <c r="S656" s="197"/>
      <c r="T656" s="197"/>
    </row>
    <row r="657" ht="15.75" customHeight="1">
      <c r="E657" s="197"/>
      <c r="F657" s="197"/>
      <c r="G657" s="197"/>
      <c r="H657" s="197"/>
      <c r="I657" s="197"/>
      <c r="J657" s="197"/>
      <c r="K657" s="197"/>
      <c r="L657" s="197"/>
      <c r="M657" s="197"/>
      <c r="N657" s="197"/>
      <c r="O657" s="197"/>
      <c r="P657" s="197"/>
      <c r="Q657" s="197"/>
      <c r="R657" s="197"/>
      <c r="S657" s="197"/>
      <c r="T657" s="197"/>
    </row>
    <row r="658" ht="15.75" customHeight="1">
      <c r="E658" s="197"/>
      <c r="F658" s="197"/>
      <c r="G658" s="197"/>
      <c r="H658" s="197"/>
      <c r="I658" s="197"/>
      <c r="J658" s="197"/>
      <c r="K658" s="197"/>
      <c r="L658" s="197"/>
      <c r="M658" s="197"/>
      <c r="N658" s="197"/>
      <c r="O658" s="197"/>
      <c r="P658" s="197"/>
      <c r="Q658" s="197"/>
      <c r="R658" s="197"/>
      <c r="S658" s="197"/>
      <c r="T658" s="197"/>
    </row>
    <row r="659" ht="15.75" customHeight="1">
      <c r="E659" s="197"/>
      <c r="F659" s="197"/>
      <c r="G659" s="197"/>
      <c r="H659" s="197"/>
      <c r="I659" s="197"/>
      <c r="J659" s="197"/>
      <c r="K659" s="197"/>
      <c r="L659" s="197"/>
      <c r="M659" s="197"/>
      <c r="N659" s="197"/>
      <c r="O659" s="197"/>
      <c r="P659" s="197"/>
      <c r="Q659" s="197"/>
      <c r="R659" s="197"/>
      <c r="S659" s="197"/>
      <c r="T659" s="197"/>
    </row>
    <row r="660" ht="15.75" customHeight="1">
      <c r="E660" s="197"/>
      <c r="F660" s="197"/>
      <c r="G660" s="197"/>
      <c r="H660" s="197"/>
      <c r="I660" s="197"/>
      <c r="J660" s="197"/>
      <c r="K660" s="197"/>
      <c r="L660" s="197"/>
      <c r="M660" s="197"/>
      <c r="N660" s="197"/>
      <c r="O660" s="197"/>
      <c r="P660" s="197"/>
      <c r="Q660" s="197"/>
      <c r="R660" s="197"/>
      <c r="S660" s="197"/>
      <c r="T660" s="197"/>
    </row>
    <row r="661" ht="15.75" customHeight="1">
      <c r="E661" s="197"/>
      <c r="F661" s="197"/>
      <c r="G661" s="197"/>
      <c r="H661" s="197"/>
      <c r="I661" s="197"/>
      <c r="J661" s="197"/>
      <c r="K661" s="197"/>
      <c r="L661" s="197"/>
      <c r="M661" s="197"/>
      <c r="N661" s="197"/>
      <c r="O661" s="197"/>
      <c r="P661" s="197"/>
      <c r="Q661" s="197"/>
      <c r="R661" s="197"/>
      <c r="S661" s="197"/>
      <c r="T661" s="197"/>
    </row>
    <row r="662" ht="15.75" customHeight="1">
      <c r="E662" s="197"/>
      <c r="F662" s="197"/>
      <c r="G662" s="197"/>
      <c r="H662" s="197"/>
      <c r="I662" s="197"/>
      <c r="J662" s="197"/>
      <c r="K662" s="197"/>
      <c r="L662" s="197"/>
      <c r="M662" s="197"/>
      <c r="N662" s="197"/>
      <c r="O662" s="197"/>
      <c r="P662" s="197"/>
      <c r="Q662" s="197"/>
      <c r="R662" s="197"/>
      <c r="S662" s="197"/>
      <c r="T662" s="197"/>
    </row>
    <row r="663" ht="15.75" customHeight="1">
      <c r="E663" s="197"/>
      <c r="F663" s="197"/>
      <c r="G663" s="197"/>
      <c r="H663" s="197"/>
      <c r="I663" s="197"/>
      <c r="J663" s="197"/>
      <c r="K663" s="197"/>
      <c r="L663" s="197"/>
      <c r="M663" s="197"/>
      <c r="N663" s="197"/>
      <c r="O663" s="197"/>
      <c r="P663" s="197"/>
      <c r="Q663" s="197"/>
      <c r="R663" s="197"/>
      <c r="S663" s="197"/>
      <c r="T663" s="197"/>
    </row>
    <row r="664" ht="15.75" customHeight="1">
      <c r="E664" s="197"/>
      <c r="F664" s="197"/>
      <c r="G664" s="197"/>
      <c r="H664" s="197"/>
      <c r="I664" s="197"/>
      <c r="J664" s="197"/>
      <c r="K664" s="197"/>
      <c r="L664" s="197"/>
      <c r="M664" s="197"/>
      <c r="N664" s="197"/>
      <c r="O664" s="197"/>
      <c r="P664" s="197"/>
      <c r="Q664" s="197"/>
      <c r="R664" s="197"/>
      <c r="S664" s="197"/>
      <c r="T664" s="197"/>
    </row>
    <row r="665" ht="15.75" customHeight="1">
      <c r="E665" s="197"/>
      <c r="F665" s="197"/>
      <c r="G665" s="197"/>
      <c r="H665" s="197"/>
      <c r="I665" s="197"/>
      <c r="J665" s="197"/>
      <c r="K665" s="197"/>
      <c r="L665" s="197"/>
      <c r="M665" s="197"/>
      <c r="N665" s="197"/>
      <c r="O665" s="197"/>
      <c r="P665" s="197"/>
      <c r="Q665" s="197"/>
      <c r="R665" s="197"/>
      <c r="S665" s="197"/>
      <c r="T665" s="197"/>
    </row>
    <row r="666" ht="15.75" customHeight="1">
      <c r="E666" s="197"/>
      <c r="F666" s="197"/>
      <c r="G666" s="197"/>
      <c r="H666" s="197"/>
      <c r="I666" s="197"/>
      <c r="J666" s="197"/>
      <c r="K666" s="197"/>
      <c r="L666" s="197"/>
      <c r="M666" s="197"/>
      <c r="N666" s="197"/>
      <c r="O666" s="197"/>
      <c r="P666" s="197"/>
      <c r="Q666" s="197"/>
      <c r="R666" s="197"/>
      <c r="S666" s="197"/>
      <c r="T666" s="197"/>
    </row>
    <row r="667" ht="15.75" customHeight="1">
      <c r="E667" s="197"/>
      <c r="F667" s="197"/>
      <c r="G667" s="197"/>
      <c r="H667" s="197"/>
      <c r="I667" s="197"/>
      <c r="J667" s="197"/>
      <c r="K667" s="197"/>
      <c r="L667" s="197"/>
      <c r="M667" s="197"/>
      <c r="N667" s="197"/>
      <c r="O667" s="197"/>
      <c r="P667" s="197"/>
      <c r="Q667" s="197"/>
      <c r="R667" s="197"/>
      <c r="S667" s="197"/>
      <c r="T667" s="197"/>
    </row>
    <row r="668" ht="15.75" customHeight="1">
      <c r="E668" s="197"/>
      <c r="F668" s="197"/>
      <c r="G668" s="197"/>
      <c r="H668" s="197"/>
      <c r="I668" s="197"/>
      <c r="J668" s="197"/>
      <c r="K668" s="197"/>
      <c r="L668" s="197"/>
      <c r="M668" s="197"/>
      <c r="N668" s="197"/>
      <c r="O668" s="197"/>
      <c r="P668" s="197"/>
      <c r="Q668" s="197"/>
      <c r="R668" s="197"/>
      <c r="S668" s="197"/>
      <c r="T668" s="197"/>
    </row>
    <row r="669" ht="15.75" customHeight="1">
      <c r="E669" s="197"/>
      <c r="F669" s="197"/>
      <c r="G669" s="197"/>
      <c r="H669" s="197"/>
      <c r="I669" s="197"/>
      <c r="J669" s="197"/>
      <c r="K669" s="197"/>
      <c r="L669" s="197"/>
      <c r="M669" s="197"/>
      <c r="N669" s="197"/>
      <c r="O669" s="197"/>
      <c r="P669" s="197"/>
      <c r="Q669" s="197"/>
      <c r="R669" s="197"/>
      <c r="S669" s="197"/>
      <c r="T669" s="197"/>
    </row>
    <row r="670" ht="15.75" customHeight="1">
      <c r="E670" s="197"/>
      <c r="F670" s="197"/>
      <c r="G670" s="197"/>
      <c r="H670" s="197"/>
      <c r="I670" s="197"/>
      <c r="J670" s="197"/>
      <c r="K670" s="197"/>
      <c r="L670" s="197"/>
      <c r="M670" s="197"/>
      <c r="N670" s="197"/>
      <c r="O670" s="197"/>
      <c r="P670" s="197"/>
      <c r="Q670" s="197"/>
      <c r="R670" s="197"/>
      <c r="S670" s="197"/>
      <c r="T670" s="197"/>
    </row>
    <row r="671" ht="15.75" customHeight="1">
      <c r="E671" s="197"/>
      <c r="F671" s="197"/>
      <c r="G671" s="197"/>
      <c r="H671" s="197"/>
      <c r="I671" s="197"/>
      <c r="J671" s="197"/>
      <c r="K671" s="197"/>
      <c r="L671" s="197"/>
      <c r="M671" s="197"/>
      <c r="N671" s="197"/>
      <c r="O671" s="197"/>
      <c r="P671" s="197"/>
      <c r="Q671" s="197"/>
      <c r="R671" s="197"/>
      <c r="S671" s="197"/>
      <c r="T671" s="197"/>
    </row>
    <row r="672" ht="15.75" customHeight="1">
      <c r="E672" s="197"/>
      <c r="F672" s="197"/>
      <c r="G672" s="197"/>
      <c r="H672" s="197"/>
      <c r="I672" s="197"/>
      <c r="J672" s="197"/>
      <c r="K672" s="197"/>
      <c r="L672" s="197"/>
      <c r="M672" s="197"/>
      <c r="N672" s="197"/>
      <c r="O672" s="197"/>
      <c r="P672" s="197"/>
      <c r="Q672" s="197"/>
      <c r="R672" s="197"/>
      <c r="S672" s="197"/>
      <c r="T672" s="197"/>
    </row>
    <row r="673" ht="15.75" customHeight="1">
      <c r="E673" s="197"/>
      <c r="F673" s="197"/>
      <c r="G673" s="197"/>
      <c r="H673" s="197"/>
      <c r="I673" s="197"/>
      <c r="J673" s="197"/>
      <c r="K673" s="197"/>
      <c r="L673" s="197"/>
      <c r="M673" s="197"/>
      <c r="N673" s="197"/>
      <c r="O673" s="197"/>
      <c r="P673" s="197"/>
      <c r="Q673" s="197"/>
      <c r="R673" s="197"/>
      <c r="S673" s="197"/>
      <c r="T673" s="197"/>
    </row>
    <row r="674" ht="15.75" customHeight="1">
      <c r="E674" s="197"/>
      <c r="F674" s="197"/>
      <c r="G674" s="197"/>
      <c r="H674" s="197"/>
      <c r="I674" s="197"/>
      <c r="J674" s="197"/>
      <c r="K674" s="197"/>
      <c r="L674" s="197"/>
      <c r="M674" s="197"/>
      <c r="N674" s="197"/>
      <c r="O674" s="197"/>
      <c r="P674" s="197"/>
      <c r="Q674" s="197"/>
      <c r="R674" s="197"/>
      <c r="S674" s="197"/>
      <c r="T674" s="197"/>
    </row>
    <row r="675" ht="15.75" customHeight="1">
      <c r="E675" s="197"/>
      <c r="F675" s="197"/>
      <c r="G675" s="197"/>
      <c r="H675" s="197"/>
      <c r="I675" s="197"/>
      <c r="J675" s="197"/>
      <c r="K675" s="197"/>
      <c r="L675" s="197"/>
      <c r="M675" s="197"/>
      <c r="N675" s="197"/>
      <c r="O675" s="197"/>
      <c r="P675" s="197"/>
      <c r="Q675" s="197"/>
      <c r="R675" s="197"/>
      <c r="S675" s="197"/>
      <c r="T675" s="197"/>
    </row>
    <row r="676" ht="15.75" customHeight="1">
      <c r="E676" s="197"/>
      <c r="F676" s="197"/>
      <c r="G676" s="197"/>
      <c r="H676" s="197"/>
      <c r="I676" s="197"/>
      <c r="J676" s="197"/>
      <c r="K676" s="197"/>
      <c r="L676" s="197"/>
      <c r="M676" s="197"/>
      <c r="N676" s="197"/>
      <c r="O676" s="197"/>
      <c r="P676" s="197"/>
      <c r="Q676" s="197"/>
      <c r="R676" s="197"/>
      <c r="S676" s="197"/>
      <c r="T676" s="197"/>
    </row>
    <row r="677" ht="15.75" customHeight="1">
      <c r="E677" s="197"/>
      <c r="F677" s="197"/>
      <c r="G677" s="197"/>
      <c r="H677" s="197"/>
      <c r="I677" s="197"/>
      <c r="J677" s="197"/>
      <c r="K677" s="197"/>
      <c r="L677" s="197"/>
      <c r="M677" s="197"/>
      <c r="N677" s="197"/>
      <c r="O677" s="197"/>
      <c r="P677" s="197"/>
      <c r="Q677" s="197"/>
      <c r="R677" s="197"/>
      <c r="S677" s="197"/>
      <c r="T677" s="197"/>
    </row>
    <row r="678" ht="15.75" customHeight="1">
      <c r="E678" s="197"/>
      <c r="F678" s="197"/>
      <c r="G678" s="197"/>
      <c r="H678" s="197"/>
      <c r="I678" s="197"/>
      <c r="J678" s="197"/>
      <c r="K678" s="197"/>
      <c r="L678" s="197"/>
      <c r="M678" s="197"/>
      <c r="N678" s="197"/>
      <c r="O678" s="197"/>
      <c r="P678" s="197"/>
      <c r="Q678" s="197"/>
      <c r="R678" s="197"/>
      <c r="S678" s="197"/>
      <c r="T678" s="197"/>
    </row>
    <row r="679" ht="15.75" customHeight="1">
      <c r="E679" s="197"/>
      <c r="F679" s="197"/>
      <c r="G679" s="197"/>
      <c r="H679" s="197"/>
      <c r="I679" s="197"/>
      <c r="J679" s="197"/>
      <c r="K679" s="197"/>
      <c r="L679" s="197"/>
      <c r="M679" s="197"/>
      <c r="N679" s="197"/>
      <c r="O679" s="197"/>
      <c r="P679" s="197"/>
      <c r="Q679" s="197"/>
      <c r="R679" s="197"/>
      <c r="S679" s="197"/>
      <c r="T679" s="197"/>
    </row>
    <row r="680" ht="15.75" customHeight="1">
      <c r="E680" s="197"/>
      <c r="F680" s="197"/>
      <c r="G680" s="197"/>
      <c r="H680" s="197"/>
      <c r="I680" s="197"/>
      <c r="J680" s="197"/>
      <c r="K680" s="197"/>
      <c r="L680" s="197"/>
      <c r="M680" s="197"/>
      <c r="N680" s="197"/>
      <c r="O680" s="197"/>
      <c r="P680" s="197"/>
      <c r="Q680" s="197"/>
      <c r="R680" s="197"/>
      <c r="S680" s="197"/>
      <c r="T680" s="197"/>
    </row>
    <row r="681" ht="15.75" customHeight="1">
      <c r="E681" s="197"/>
      <c r="F681" s="197"/>
      <c r="G681" s="197"/>
      <c r="H681" s="197"/>
      <c r="I681" s="197"/>
      <c r="J681" s="197"/>
      <c r="K681" s="197"/>
      <c r="L681" s="197"/>
      <c r="M681" s="197"/>
      <c r="N681" s="197"/>
      <c r="O681" s="197"/>
      <c r="P681" s="197"/>
      <c r="Q681" s="197"/>
      <c r="R681" s="197"/>
      <c r="S681" s="197"/>
      <c r="T681" s="197"/>
    </row>
    <row r="682" ht="15.75" customHeight="1">
      <c r="E682" s="197"/>
      <c r="F682" s="197"/>
      <c r="G682" s="197"/>
      <c r="H682" s="197"/>
      <c r="I682" s="197"/>
      <c r="J682" s="197"/>
      <c r="K682" s="197"/>
      <c r="L682" s="197"/>
      <c r="M682" s="197"/>
      <c r="N682" s="197"/>
      <c r="O682" s="197"/>
      <c r="P682" s="197"/>
      <c r="Q682" s="197"/>
      <c r="R682" s="197"/>
      <c r="S682" s="197"/>
      <c r="T682" s="197"/>
    </row>
    <row r="683" ht="15.75" customHeight="1">
      <c r="E683" s="197"/>
      <c r="F683" s="197"/>
      <c r="G683" s="197"/>
      <c r="H683" s="197"/>
      <c r="I683" s="197"/>
      <c r="J683" s="197"/>
      <c r="K683" s="197"/>
      <c r="L683" s="197"/>
      <c r="M683" s="197"/>
      <c r="N683" s="197"/>
      <c r="O683" s="197"/>
      <c r="P683" s="197"/>
      <c r="Q683" s="197"/>
      <c r="R683" s="197"/>
      <c r="S683" s="197"/>
      <c r="T683" s="197"/>
    </row>
    <row r="684" ht="15.75" customHeight="1">
      <c r="E684" s="197"/>
      <c r="F684" s="197"/>
      <c r="G684" s="197"/>
      <c r="H684" s="197"/>
      <c r="I684" s="197"/>
      <c r="J684" s="197"/>
      <c r="K684" s="197"/>
      <c r="L684" s="197"/>
      <c r="M684" s="197"/>
      <c r="N684" s="197"/>
      <c r="O684" s="197"/>
      <c r="P684" s="197"/>
      <c r="Q684" s="197"/>
      <c r="R684" s="197"/>
      <c r="S684" s="197"/>
      <c r="T684" s="197"/>
    </row>
    <row r="685" ht="15.75" customHeight="1">
      <c r="E685" s="197"/>
      <c r="F685" s="197"/>
      <c r="G685" s="197"/>
      <c r="H685" s="197"/>
      <c r="I685" s="197"/>
      <c r="J685" s="197"/>
      <c r="K685" s="197"/>
      <c r="L685" s="197"/>
      <c r="M685" s="197"/>
      <c r="N685" s="197"/>
      <c r="O685" s="197"/>
      <c r="P685" s="197"/>
      <c r="Q685" s="197"/>
      <c r="R685" s="197"/>
      <c r="S685" s="197"/>
      <c r="T685" s="197"/>
    </row>
    <row r="686" ht="15.75" customHeight="1">
      <c r="E686" s="197"/>
      <c r="F686" s="197"/>
      <c r="G686" s="197"/>
      <c r="H686" s="197"/>
      <c r="I686" s="197"/>
      <c r="J686" s="197"/>
      <c r="K686" s="197"/>
      <c r="L686" s="197"/>
      <c r="M686" s="197"/>
      <c r="N686" s="197"/>
      <c r="O686" s="197"/>
      <c r="P686" s="197"/>
      <c r="Q686" s="197"/>
      <c r="R686" s="197"/>
      <c r="S686" s="197"/>
      <c r="T686" s="197"/>
    </row>
    <row r="687" ht="15.75" customHeight="1">
      <c r="E687" s="197"/>
      <c r="F687" s="197"/>
      <c r="G687" s="197"/>
      <c r="H687" s="197"/>
      <c r="I687" s="197"/>
      <c r="J687" s="197"/>
      <c r="K687" s="197"/>
      <c r="L687" s="197"/>
      <c r="M687" s="197"/>
      <c r="N687" s="197"/>
      <c r="O687" s="197"/>
      <c r="P687" s="197"/>
      <c r="Q687" s="197"/>
      <c r="R687" s="197"/>
      <c r="S687" s="197"/>
      <c r="T687" s="197"/>
    </row>
    <row r="688" ht="15.75" customHeight="1">
      <c r="E688" s="197"/>
      <c r="F688" s="197"/>
      <c r="G688" s="197"/>
      <c r="H688" s="197"/>
      <c r="I688" s="197"/>
      <c r="J688" s="197"/>
      <c r="K688" s="197"/>
      <c r="L688" s="197"/>
      <c r="M688" s="197"/>
      <c r="N688" s="197"/>
      <c r="O688" s="197"/>
      <c r="P688" s="197"/>
      <c r="Q688" s="197"/>
      <c r="R688" s="197"/>
      <c r="S688" s="197"/>
      <c r="T688" s="197"/>
    </row>
    <row r="689" ht="15.75" customHeight="1">
      <c r="E689" s="197"/>
      <c r="F689" s="197"/>
      <c r="G689" s="197"/>
      <c r="H689" s="197"/>
      <c r="I689" s="197"/>
      <c r="J689" s="197"/>
      <c r="K689" s="197"/>
      <c r="L689" s="197"/>
      <c r="M689" s="197"/>
      <c r="N689" s="197"/>
      <c r="O689" s="197"/>
      <c r="P689" s="197"/>
      <c r="Q689" s="197"/>
      <c r="R689" s="197"/>
      <c r="S689" s="197"/>
      <c r="T689" s="197"/>
    </row>
    <row r="690" ht="15.75" customHeight="1">
      <c r="E690" s="197"/>
      <c r="F690" s="197"/>
      <c r="G690" s="197"/>
      <c r="H690" s="197"/>
      <c r="I690" s="197"/>
      <c r="J690" s="197"/>
      <c r="K690" s="197"/>
      <c r="L690" s="197"/>
      <c r="M690" s="197"/>
      <c r="N690" s="197"/>
      <c r="O690" s="197"/>
      <c r="P690" s="197"/>
      <c r="Q690" s="197"/>
      <c r="R690" s="197"/>
      <c r="S690" s="197"/>
      <c r="T690" s="197"/>
    </row>
    <row r="691" ht="15.75" customHeight="1">
      <c r="E691" s="197"/>
      <c r="F691" s="197"/>
      <c r="G691" s="197"/>
      <c r="H691" s="197"/>
      <c r="I691" s="197"/>
      <c r="J691" s="197"/>
      <c r="K691" s="197"/>
      <c r="L691" s="197"/>
      <c r="M691" s="197"/>
      <c r="N691" s="197"/>
      <c r="O691" s="197"/>
      <c r="P691" s="197"/>
      <c r="Q691" s="197"/>
      <c r="R691" s="197"/>
      <c r="S691" s="197"/>
      <c r="T691" s="197"/>
    </row>
    <row r="692" ht="15.75" customHeight="1">
      <c r="E692" s="197"/>
      <c r="F692" s="197"/>
      <c r="G692" s="197"/>
      <c r="H692" s="197"/>
      <c r="I692" s="197"/>
      <c r="J692" s="197"/>
      <c r="K692" s="197"/>
      <c r="L692" s="197"/>
      <c r="M692" s="197"/>
      <c r="N692" s="197"/>
      <c r="O692" s="197"/>
      <c r="P692" s="197"/>
      <c r="Q692" s="197"/>
      <c r="R692" s="197"/>
      <c r="S692" s="197"/>
      <c r="T692" s="197"/>
    </row>
    <row r="693" ht="15.75" customHeight="1">
      <c r="E693" s="197"/>
      <c r="F693" s="197"/>
      <c r="G693" s="197"/>
      <c r="H693" s="197"/>
      <c r="I693" s="197"/>
      <c r="J693" s="197"/>
      <c r="K693" s="197"/>
      <c r="L693" s="197"/>
      <c r="M693" s="197"/>
      <c r="N693" s="197"/>
      <c r="O693" s="197"/>
      <c r="P693" s="197"/>
      <c r="Q693" s="197"/>
      <c r="R693" s="197"/>
      <c r="S693" s="197"/>
      <c r="T693" s="197"/>
    </row>
    <row r="694" ht="15.75" customHeight="1">
      <c r="E694" s="197"/>
      <c r="F694" s="197"/>
      <c r="G694" s="197"/>
      <c r="H694" s="197"/>
      <c r="I694" s="197"/>
      <c r="J694" s="197"/>
      <c r="K694" s="197"/>
      <c r="L694" s="197"/>
      <c r="M694" s="197"/>
      <c r="N694" s="197"/>
      <c r="O694" s="197"/>
      <c r="P694" s="197"/>
      <c r="Q694" s="197"/>
      <c r="R694" s="197"/>
      <c r="S694" s="197"/>
      <c r="T694" s="197"/>
    </row>
    <row r="695" ht="15.75" customHeight="1">
      <c r="E695" s="197"/>
      <c r="F695" s="197"/>
      <c r="G695" s="197"/>
      <c r="H695" s="197"/>
      <c r="I695" s="197"/>
      <c r="J695" s="197"/>
      <c r="K695" s="197"/>
      <c r="L695" s="197"/>
      <c r="M695" s="197"/>
      <c r="N695" s="197"/>
      <c r="O695" s="197"/>
      <c r="P695" s="197"/>
      <c r="Q695" s="197"/>
      <c r="R695" s="197"/>
      <c r="S695" s="197"/>
      <c r="T695" s="197"/>
    </row>
    <row r="696" ht="15.75" customHeight="1">
      <c r="E696" s="197"/>
      <c r="F696" s="197"/>
      <c r="G696" s="197"/>
      <c r="H696" s="197"/>
      <c r="I696" s="197"/>
      <c r="J696" s="197"/>
      <c r="K696" s="197"/>
      <c r="L696" s="197"/>
      <c r="M696" s="197"/>
      <c r="N696" s="197"/>
      <c r="O696" s="197"/>
      <c r="P696" s="197"/>
      <c r="Q696" s="197"/>
      <c r="R696" s="197"/>
      <c r="S696" s="197"/>
      <c r="T696" s="197"/>
    </row>
    <row r="697" ht="15.75" customHeight="1">
      <c r="E697" s="197"/>
      <c r="F697" s="197"/>
      <c r="G697" s="197"/>
      <c r="H697" s="197"/>
      <c r="I697" s="197"/>
      <c r="J697" s="197"/>
      <c r="K697" s="197"/>
      <c r="L697" s="197"/>
      <c r="M697" s="197"/>
      <c r="N697" s="197"/>
      <c r="O697" s="197"/>
      <c r="P697" s="197"/>
      <c r="Q697" s="197"/>
      <c r="R697" s="197"/>
      <c r="S697" s="197"/>
      <c r="T697" s="197"/>
    </row>
    <row r="698" ht="15.75" customHeight="1">
      <c r="E698" s="197"/>
      <c r="F698" s="197"/>
      <c r="G698" s="197"/>
      <c r="H698" s="197"/>
      <c r="I698" s="197"/>
      <c r="J698" s="197"/>
      <c r="K698" s="197"/>
      <c r="L698" s="197"/>
      <c r="M698" s="197"/>
      <c r="N698" s="197"/>
      <c r="O698" s="197"/>
      <c r="P698" s="197"/>
      <c r="Q698" s="197"/>
      <c r="R698" s="197"/>
      <c r="S698" s="197"/>
      <c r="T698" s="197"/>
    </row>
    <row r="699" ht="15.75" customHeight="1">
      <c r="E699" s="197"/>
      <c r="F699" s="197"/>
      <c r="G699" s="197"/>
      <c r="H699" s="197"/>
      <c r="I699" s="197"/>
      <c r="J699" s="197"/>
      <c r="K699" s="197"/>
      <c r="L699" s="197"/>
      <c r="M699" s="197"/>
      <c r="N699" s="197"/>
      <c r="O699" s="197"/>
      <c r="P699" s="197"/>
      <c r="Q699" s="197"/>
      <c r="R699" s="197"/>
      <c r="S699" s="197"/>
      <c r="T699" s="197"/>
    </row>
    <row r="700" ht="15.75" customHeight="1">
      <c r="E700" s="197"/>
      <c r="F700" s="197"/>
      <c r="G700" s="197"/>
      <c r="H700" s="197"/>
      <c r="I700" s="197"/>
      <c r="J700" s="197"/>
      <c r="K700" s="197"/>
      <c r="L700" s="197"/>
      <c r="M700" s="197"/>
      <c r="N700" s="197"/>
      <c r="O700" s="197"/>
      <c r="P700" s="197"/>
      <c r="Q700" s="197"/>
      <c r="R700" s="197"/>
      <c r="S700" s="197"/>
      <c r="T700" s="197"/>
    </row>
    <row r="701" ht="15.75" customHeight="1">
      <c r="E701" s="197"/>
      <c r="F701" s="197"/>
      <c r="G701" s="197"/>
      <c r="H701" s="197"/>
      <c r="I701" s="197"/>
      <c r="J701" s="197"/>
      <c r="K701" s="197"/>
      <c r="L701" s="197"/>
      <c r="M701" s="197"/>
      <c r="N701" s="197"/>
      <c r="O701" s="197"/>
      <c r="P701" s="197"/>
      <c r="Q701" s="197"/>
      <c r="R701" s="197"/>
      <c r="S701" s="197"/>
      <c r="T701" s="197"/>
    </row>
    <row r="702" ht="15.75" customHeight="1">
      <c r="E702" s="197"/>
      <c r="F702" s="197"/>
      <c r="G702" s="197"/>
      <c r="H702" s="197"/>
      <c r="I702" s="197"/>
      <c r="J702" s="197"/>
      <c r="K702" s="197"/>
      <c r="L702" s="197"/>
      <c r="M702" s="197"/>
      <c r="N702" s="197"/>
      <c r="O702" s="197"/>
      <c r="P702" s="197"/>
      <c r="Q702" s="197"/>
      <c r="R702" s="197"/>
      <c r="S702" s="197"/>
      <c r="T702" s="197"/>
    </row>
    <row r="703" ht="15.75" customHeight="1">
      <c r="E703" s="197"/>
      <c r="F703" s="197"/>
      <c r="G703" s="197"/>
      <c r="H703" s="197"/>
      <c r="I703" s="197"/>
      <c r="J703" s="197"/>
      <c r="K703" s="197"/>
      <c r="L703" s="197"/>
      <c r="M703" s="197"/>
      <c r="N703" s="197"/>
      <c r="O703" s="197"/>
      <c r="P703" s="197"/>
      <c r="Q703" s="197"/>
      <c r="R703" s="197"/>
      <c r="S703" s="197"/>
      <c r="T703" s="197"/>
    </row>
    <row r="704" ht="15.75" customHeight="1">
      <c r="E704" s="197"/>
      <c r="F704" s="197"/>
      <c r="G704" s="197"/>
      <c r="H704" s="197"/>
      <c r="I704" s="197"/>
      <c r="J704" s="197"/>
      <c r="K704" s="197"/>
      <c r="L704" s="197"/>
      <c r="M704" s="197"/>
      <c r="N704" s="197"/>
      <c r="O704" s="197"/>
      <c r="P704" s="197"/>
      <c r="Q704" s="197"/>
      <c r="R704" s="197"/>
      <c r="S704" s="197"/>
      <c r="T704" s="197"/>
    </row>
    <row r="705" ht="15.75" customHeight="1">
      <c r="E705" s="197"/>
      <c r="F705" s="197"/>
      <c r="G705" s="197"/>
      <c r="H705" s="197"/>
      <c r="I705" s="197"/>
      <c r="J705" s="197"/>
      <c r="K705" s="197"/>
      <c r="L705" s="197"/>
      <c r="M705" s="197"/>
      <c r="N705" s="197"/>
      <c r="O705" s="197"/>
      <c r="P705" s="197"/>
      <c r="Q705" s="197"/>
      <c r="R705" s="197"/>
      <c r="S705" s="197"/>
      <c r="T705" s="197"/>
    </row>
    <row r="706" ht="15.75" customHeight="1">
      <c r="E706" s="197"/>
      <c r="F706" s="197"/>
      <c r="G706" s="197"/>
      <c r="H706" s="197"/>
      <c r="I706" s="197"/>
      <c r="J706" s="197"/>
      <c r="K706" s="197"/>
      <c r="L706" s="197"/>
      <c r="M706" s="197"/>
      <c r="N706" s="197"/>
      <c r="O706" s="197"/>
      <c r="P706" s="197"/>
      <c r="Q706" s="197"/>
      <c r="R706" s="197"/>
      <c r="S706" s="197"/>
      <c r="T706" s="197"/>
    </row>
    <row r="707" ht="15.75" customHeight="1">
      <c r="E707" s="197"/>
      <c r="F707" s="197"/>
      <c r="G707" s="197"/>
      <c r="H707" s="197"/>
      <c r="I707" s="197"/>
      <c r="J707" s="197"/>
      <c r="K707" s="197"/>
      <c r="L707" s="197"/>
      <c r="M707" s="197"/>
      <c r="N707" s="197"/>
      <c r="O707" s="197"/>
      <c r="P707" s="197"/>
      <c r="Q707" s="197"/>
      <c r="R707" s="197"/>
      <c r="S707" s="197"/>
      <c r="T707" s="197"/>
    </row>
    <row r="708" ht="15.75" customHeight="1">
      <c r="E708" s="197"/>
      <c r="F708" s="197"/>
      <c r="G708" s="197"/>
      <c r="H708" s="197"/>
      <c r="I708" s="197"/>
      <c r="J708" s="197"/>
      <c r="K708" s="197"/>
      <c r="L708" s="197"/>
      <c r="M708" s="197"/>
      <c r="N708" s="197"/>
      <c r="O708" s="197"/>
      <c r="P708" s="197"/>
      <c r="Q708" s="197"/>
      <c r="R708" s="197"/>
      <c r="S708" s="197"/>
      <c r="T708" s="197"/>
    </row>
    <row r="709" ht="15.75" customHeight="1">
      <c r="E709" s="197"/>
      <c r="F709" s="197"/>
      <c r="G709" s="197"/>
      <c r="H709" s="197"/>
      <c r="I709" s="197"/>
      <c r="J709" s="197"/>
      <c r="K709" s="197"/>
      <c r="L709" s="197"/>
      <c r="M709" s="197"/>
      <c r="N709" s="197"/>
      <c r="O709" s="197"/>
      <c r="P709" s="197"/>
      <c r="Q709" s="197"/>
      <c r="R709" s="197"/>
      <c r="S709" s="197"/>
      <c r="T709" s="197"/>
    </row>
    <row r="710" ht="15.75" customHeight="1">
      <c r="E710" s="197"/>
      <c r="F710" s="197"/>
      <c r="G710" s="197"/>
      <c r="H710" s="197"/>
      <c r="I710" s="197"/>
      <c r="J710" s="197"/>
      <c r="K710" s="197"/>
      <c r="L710" s="197"/>
      <c r="M710" s="197"/>
      <c r="N710" s="197"/>
      <c r="O710" s="197"/>
      <c r="P710" s="197"/>
      <c r="Q710" s="197"/>
      <c r="R710" s="197"/>
      <c r="S710" s="197"/>
      <c r="T710" s="197"/>
    </row>
    <row r="711" ht="15.75" customHeight="1">
      <c r="E711" s="197"/>
      <c r="F711" s="197"/>
      <c r="G711" s="197"/>
      <c r="H711" s="197"/>
      <c r="I711" s="197"/>
      <c r="J711" s="197"/>
      <c r="K711" s="197"/>
      <c r="L711" s="197"/>
      <c r="M711" s="197"/>
      <c r="N711" s="197"/>
      <c r="O711" s="197"/>
      <c r="P711" s="197"/>
      <c r="Q711" s="197"/>
      <c r="R711" s="197"/>
      <c r="S711" s="197"/>
      <c r="T711" s="197"/>
    </row>
    <row r="712" ht="15.75" customHeight="1">
      <c r="E712" s="197"/>
      <c r="F712" s="197"/>
      <c r="G712" s="197"/>
      <c r="H712" s="197"/>
      <c r="I712" s="197"/>
      <c r="J712" s="197"/>
      <c r="K712" s="197"/>
      <c r="L712" s="197"/>
      <c r="M712" s="197"/>
      <c r="N712" s="197"/>
      <c r="O712" s="197"/>
      <c r="P712" s="197"/>
      <c r="Q712" s="197"/>
      <c r="R712" s="197"/>
      <c r="S712" s="197"/>
      <c r="T712" s="197"/>
    </row>
    <row r="713" ht="15.75" customHeight="1">
      <c r="E713" s="197"/>
      <c r="F713" s="197"/>
      <c r="G713" s="197"/>
      <c r="H713" s="197"/>
      <c r="I713" s="197"/>
      <c r="J713" s="197"/>
      <c r="K713" s="197"/>
      <c r="L713" s="197"/>
      <c r="M713" s="197"/>
      <c r="N713" s="197"/>
      <c r="O713" s="197"/>
      <c r="P713" s="197"/>
      <c r="Q713" s="197"/>
      <c r="R713" s="197"/>
      <c r="S713" s="197"/>
      <c r="T713" s="197"/>
    </row>
    <row r="714" ht="15.75" customHeight="1">
      <c r="E714" s="197"/>
      <c r="F714" s="197"/>
      <c r="G714" s="197"/>
      <c r="H714" s="197"/>
      <c r="I714" s="197"/>
      <c r="J714" s="197"/>
      <c r="K714" s="197"/>
      <c r="L714" s="197"/>
      <c r="M714" s="197"/>
      <c r="N714" s="197"/>
      <c r="O714" s="197"/>
      <c r="P714" s="197"/>
      <c r="Q714" s="197"/>
      <c r="R714" s="197"/>
      <c r="S714" s="197"/>
      <c r="T714" s="197"/>
    </row>
    <row r="715" ht="15.75" customHeight="1">
      <c r="E715" s="197"/>
      <c r="F715" s="197"/>
      <c r="G715" s="197"/>
      <c r="H715" s="197"/>
      <c r="I715" s="197"/>
      <c r="J715" s="197"/>
      <c r="K715" s="197"/>
      <c r="L715" s="197"/>
      <c r="M715" s="197"/>
      <c r="N715" s="197"/>
      <c r="O715" s="197"/>
      <c r="P715" s="197"/>
      <c r="Q715" s="197"/>
      <c r="R715" s="197"/>
      <c r="S715" s="197"/>
      <c r="T715" s="197"/>
    </row>
    <row r="716" ht="15.75" customHeight="1">
      <c r="E716" s="197"/>
      <c r="F716" s="197"/>
      <c r="G716" s="197"/>
      <c r="H716" s="197"/>
      <c r="I716" s="197"/>
      <c r="J716" s="197"/>
      <c r="K716" s="197"/>
      <c r="L716" s="197"/>
      <c r="M716" s="197"/>
      <c r="N716" s="197"/>
      <c r="O716" s="197"/>
      <c r="P716" s="197"/>
      <c r="Q716" s="197"/>
      <c r="R716" s="197"/>
      <c r="S716" s="197"/>
      <c r="T716" s="197"/>
    </row>
    <row r="717" ht="15.75" customHeight="1">
      <c r="E717" s="197"/>
      <c r="F717" s="197"/>
      <c r="G717" s="197"/>
      <c r="H717" s="197"/>
      <c r="I717" s="197"/>
      <c r="J717" s="197"/>
      <c r="K717" s="197"/>
      <c r="L717" s="197"/>
      <c r="M717" s="197"/>
      <c r="N717" s="197"/>
      <c r="O717" s="197"/>
      <c r="P717" s="197"/>
      <c r="Q717" s="197"/>
      <c r="R717" s="197"/>
      <c r="S717" s="197"/>
      <c r="T717" s="197"/>
    </row>
    <row r="718" ht="15.75" customHeight="1">
      <c r="E718" s="197"/>
      <c r="F718" s="197"/>
      <c r="G718" s="197"/>
      <c r="H718" s="197"/>
      <c r="I718" s="197"/>
      <c r="J718" s="197"/>
      <c r="K718" s="197"/>
      <c r="L718" s="197"/>
      <c r="M718" s="197"/>
      <c r="N718" s="197"/>
      <c r="O718" s="197"/>
      <c r="P718" s="197"/>
      <c r="Q718" s="197"/>
      <c r="R718" s="197"/>
      <c r="S718" s="197"/>
      <c r="T718" s="197"/>
    </row>
    <row r="719" ht="15.75" customHeight="1">
      <c r="E719" s="197"/>
      <c r="F719" s="197"/>
      <c r="G719" s="197"/>
      <c r="H719" s="197"/>
      <c r="I719" s="197"/>
      <c r="J719" s="197"/>
      <c r="K719" s="197"/>
      <c r="L719" s="197"/>
      <c r="M719" s="197"/>
      <c r="N719" s="197"/>
      <c r="O719" s="197"/>
      <c r="P719" s="197"/>
      <c r="Q719" s="197"/>
      <c r="R719" s="197"/>
      <c r="S719" s="197"/>
      <c r="T719" s="197"/>
    </row>
    <row r="720" ht="15.75" customHeight="1">
      <c r="E720" s="197"/>
      <c r="F720" s="197"/>
      <c r="G720" s="197"/>
      <c r="H720" s="197"/>
      <c r="I720" s="197"/>
      <c r="J720" s="197"/>
      <c r="K720" s="197"/>
      <c r="L720" s="197"/>
      <c r="M720" s="197"/>
      <c r="N720" s="197"/>
      <c r="O720" s="197"/>
      <c r="P720" s="197"/>
      <c r="Q720" s="197"/>
      <c r="R720" s="197"/>
      <c r="S720" s="197"/>
      <c r="T720" s="197"/>
    </row>
    <row r="721" ht="15.75" customHeight="1">
      <c r="E721" s="197"/>
      <c r="F721" s="197"/>
      <c r="G721" s="197"/>
      <c r="H721" s="197"/>
      <c r="I721" s="197"/>
      <c r="J721" s="197"/>
      <c r="K721" s="197"/>
      <c r="L721" s="197"/>
      <c r="M721" s="197"/>
      <c r="N721" s="197"/>
      <c r="O721" s="197"/>
      <c r="P721" s="197"/>
      <c r="Q721" s="197"/>
      <c r="R721" s="197"/>
      <c r="S721" s="197"/>
      <c r="T721" s="197"/>
    </row>
    <row r="722" ht="15.75" customHeight="1">
      <c r="E722" s="197"/>
      <c r="F722" s="197"/>
      <c r="G722" s="197"/>
      <c r="H722" s="197"/>
      <c r="I722" s="197"/>
      <c r="J722" s="197"/>
      <c r="K722" s="197"/>
      <c r="L722" s="197"/>
      <c r="M722" s="197"/>
      <c r="N722" s="197"/>
      <c r="O722" s="197"/>
      <c r="P722" s="197"/>
      <c r="Q722" s="197"/>
      <c r="R722" s="197"/>
      <c r="S722" s="197"/>
      <c r="T722" s="197"/>
    </row>
    <row r="723" ht="15.75" customHeight="1">
      <c r="E723" s="197"/>
      <c r="F723" s="197"/>
      <c r="G723" s="197"/>
      <c r="H723" s="197"/>
      <c r="I723" s="197"/>
      <c r="J723" s="197"/>
      <c r="K723" s="197"/>
      <c r="L723" s="197"/>
      <c r="M723" s="197"/>
      <c r="N723" s="197"/>
      <c r="O723" s="197"/>
      <c r="P723" s="197"/>
      <c r="Q723" s="197"/>
      <c r="R723" s="197"/>
      <c r="S723" s="197"/>
      <c r="T723" s="197"/>
    </row>
    <row r="724" ht="15.75" customHeight="1">
      <c r="E724" s="197"/>
      <c r="F724" s="197"/>
      <c r="G724" s="197"/>
      <c r="H724" s="197"/>
      <c r="I724" s="197"/>
      <c r="J724" s="197"/>
      <c r="K724" s="197"/>
      <c r="L724" s="197"/>
      <c r="M724" s="197"/>
      <c r="N724" s="197"/>
      <c r="O724" s="197"/>
      <c r="P724" s="197"/>
      <c r="Q724" s="197"/>
      <c r="R724" s="197"/>
      <c r="S724" s="197"/>
      <c r="T724" s="197"/>
    </row>
    <row r="725" ht="15.75" customHeight="1">
      <c r="E725" s="197"/>
      <c r="F725" s="197"/>
      <c r="G725" s="197"/>
      <c r="H725" s="197"/>
      <c r="I725" s="197"/>
      <c r="J725" s="197"/>
      <c r="K725" s="197"/>
      <c r="L725" s="197"/>
      <c r="M725" s="197"/>
      <c r="N725" s="197"/>
      <c r="O725" s="197"/>
      <c r="P725" s="197"/>
      <c r="Q725" s="197"/>
      <c r="R725" s="197"/>
      <c r="S725" s="197"/>
      <c r="T725" s="197"/>
    </row>
    <row r="726" ht="15.75" customHeight="1">
      <c r="E726" s="197"/>
      <c r="F726" s="197"/>
      <c r="G726" s="197"/>
      <c r="H726" s="197"/>
      <c r="I726" s="197"/>
      <c r="J726" s="197"/>
      <c r="K726" s="197"/>
      <c r="L726" s="197"/>
      <c r="M726" s="197"/>
      <c r="N726" s="197"/>
      <c r="O726" s="197"/>
      <c r="P726" s="197"/>
      <c r="Q726" s="197"/>
      <c r="R726" s="197"/>
      <c r="S726" s="197"/>
      <c r="T726" s="197"/>
    </row>
    <row r="727" ht="15.75" customHeight="1">
      <c r="E727" s="197"/>
      <c r="F727" s="197"/>
      <c r="G727" s="197"/>
      <c r="H727" s="197"/>
      <c r="I727" s="197"/>
      <c r="J727" s="197"/>
      <c r="K727" s="197"/>
      <c r="L727" s="197"/>
      <c r="M727" s="197"/>
      <c r="N727" s="197"/>
      <c r="O727" s="197"/>
      <c r="P727" s="197"/>
      <c r="Q727" s="197"/>
      <c r="R727" s="197"/>
      <c r="S727" s="197"/>
      <c r="T727" s="197"/>
    </row>
    <row r="728" ht="15.75" customHeight="1">
      <c r="E728" s="197"/>
      <c r="F728" s="197"/>
      <c r="G728" s="197"/>
      <c r="H728" s="197"/>
      <c r="I728" s="197"/>
      <c r="J728" s="197"/>
      <c r="K728" s="197"/>
      <c r="L728" s="197"/>
      <c r="M728" s="197"/>
      <c r="N728" s="197"/>
      <c r="O728" s="197"/>
      <c r="P728" s="197"/>
      <c r="Q728" s="197"/>
      <c r="R728" s="197"/>
      <c r="S728" s="197"/>
      <c r="T728" s="197"/>
    </row>
    <row r="729" ht="15.75" customHeight="1">
      <c r="E729" s="197"/>
      <c r="F729" s="197"/>
      <c r="G729" s="197"/>
      <c r="H729" s="197"/>
      <c r="I729" s="197"/>
      <c r="J729" s="197"/>
      <c r="K729" s="197"/>
      <c r="L729" s="197"/>
      <c r="M729" s="197"/>
      <c r="N729" s="197"/>
      <c r="O729" s="197"/>
      <c r="P729" s="197"/>
      <c r="Q729" s="197"/>
      <c r="R729" s="197"/>
      <c r="S729" s="197"/>
      <c r="T729" s="197"/>
    </row>
    <row r="730" ht="15.75" customHeight="1">
      <c r="E730" s="197"/>
      <c r="F730" s="197"/>
      <c r="G730" s="197"/>
      <c r="H730" s="197"/>
      <c r="I730" s="197"/>
      <c r="J730" s="197"/>
      <c r="K730" s="197"/>
      <c r="L730" s="197"/>
      <c r="M730" s="197"/>
      <c r="N730" s="197"/>
      <c r="O730" s="197"/>
      <c r="P730" s="197"/>
      <c r="Q730" s="197"/>
      <c r="R730" s="197"/>
      <c r="S730" s="197"/>
      <c r="T730" s="197"/>
    </row>
    <row r="731" ht="15.75" customHeight="1">
      <c r="E731" s="197"/>
      <c r="F731" s="197"/>
      <c r="G731" s="197"/>
      <c r="H731" s="197"/>
      <c r="I731" s="197"/>
      <c r="J731" s="197"/>
      <c r="K731" s="197"/>
      <c r="L731" s="197"/>
      <c r="M731" s="197"/>
      <c r="N731" s="197"/>
      <c r="O731" s="197"/>
      <c r="P731" s="197"/>
      <c r="Q731" s="197"/>
      <c r="R731" s="197"/>
      <c r="S731" s="197"/>
      <c r="T731" s="197"/>
    </row>
    <row r="732" ht="15.75" customHeight="1">
      <c r="E732" s="197"/>
      <c r="F732" s="197"/>
      <c r="G732" s="197"/>
      <c r="H732" s="197"/>
      <c r="I732" s="197"/>
      <c r="J732" s="197"/>
      <c r="K732" s="197"/>
      <c r="L732" s="197"/>
      <c r="M732" s="197"/>
      <c r="N732" s="197"/>
      <c r="O732" s="197"/>
      <c r="P732" s="197"/>
      <c r="Q732" s="197"/>
      <c r="R732" s="197"/>
      <c r="S732" s="197"/>
      <c r="T732" s="197"/>
    </row>
    <row r="733" ht="15.75" customHeight="1">
      <c r="E733" s="197"/>
      <c r="F733" s="197"/>
      <c r="G733" s="197"/>
      <c r="H733" s="197"/>
      <c r="I733" s="197"/>
      <c r="J733" s="197"/>
      <c r="K733" s="197"/>
      <c r="L733" s="197"/>
      <c r="M733" s="197"/>
      <c r="N733" s="197"/>
      <c r="O733" s="197"/>
      <c r="P733" s="197"/>
      <c r="Q733" s="197"/>
      <c r="R733" s="197"/>
      <c r="S733" s="197"/>
      <c r="T733" s="197"/>
    </row>
    <row r="734" ht="15.75" customHeight="1">
      <c r="E734" s="197"/>
      <c r="F734" s="197"/>
      <c r="G734" s="197"/>
      <c r="H734" s="197"/>
      <c r="I734" s="197"/>
      <c r="J734" s="197"/>
      <c r="K734" s="197"/>
      <c r="L734" s="197"/>
      <c r="M734" s="197"/>
      <c r="N734" s="197"/>
      <c r="O734" s="197"/>
      <c r="P734" s="197"/>
      <c r="Q734" s="197"/>
      <c r="R734" s="197"/>
      <c r="S734" s="197"/>
      <c r="T734" s="197"/>
    </row>
    <row r="735" ht="15.75" customHeight="1">
      <c r="E735" s="197"/>
      <c r="F735" s="197"/>
      <c r="G735" s="197"/>
      <c r="H735" s="197"/>
      <c r="I735" s="197"/>
      <c r="J735" s="197"/>
      <c r="K735" s="197"/>
      <c r="L735" s="197"/>
      <c r="M735" s="197"/>
      <c r="N735" s="197"/>
      <c r="O735" s="197"/>
      <c r="P735" s="197"/>
      <c r="Q735" s="197"/>
      <c r="R735" s="197"/>
      <c r="S735" s="197"/>
      <c r="T735" s="197"/>
    </row>
    <row r="736" ht="15.75" customHeight="1">
      <c r="E736" s="197"/>
      <c r="F736" s="197"/>
      <c r="G736" s="197"/>
      <c r="H736" s="197"/>
      <c r="I736" s="197"/>
      <c r="J736" s="197"/>
      <c r="K736" s="197"/>
      <c r="L736" s="197"/>
      <c r="M736" s="197"/>
      <c r="N736" s="197"/>
      <c r="O736" s="197"/>
      <c r="P736" s="197"/>
      <c r="Q736" s="197"/>
      <c r="R736" s="197"/>
      <c r="S736" s="197"/>
      <c r="T736" s="197"/>
    </row>
    <row r="737" ht="15.75" customHeight="1">
      <c r="E737" s="197"/>
      <c r="F737" s="197"/>
      <c r="G737" s="197"/>
      <c r="H737" s="197"/>
      <c r="I737" s="197"/>
      <c r="J737" s="197"/>
      <c r="K737" s="197"/>
      <c r="L737" s="197"/>
      <c r="M737" s="197"/>
      <c r="N737" s="197"/>
      <c r="O737" s="197"/>
      <c r="P737" s="197"/>
      <c r="Q737" s="197"/>
      <c r="R737" s="197"/>
      <c r="S737" s="197"/>
      <c r="T737" s="197"/>
    </row>
    <row r="738" ht="15.75" customHeight="1">
      <c r="E738" s="197"/>
      <c r="F738" s="197"/>
      <c r="G738" s="197"/>
      <c r="H738" s="197"/>
      <c r="I738" s="197"/>
      <c r="J738" s="197"/>
      <c r="K738" s="197"/>
      <c r="L738" s="197"/>
      <c r="M738" s="197"/>
      <c r="N738" s="197"/>
      <c r="O738" s="197"/>
      <c r="P738" s="197"/>
      <c r="Q738" s="197"/>
      <c r="R738" s="197"/>
      <c r="S738" s="197"/>
      <c r="T738" s="197"/>
    </row>
    <row r="739" ht="15.75" customHeight="1">
      <c r="E739" s="197"/>
      <c r="F739" s="197"/>
      <c r="G739" s="197"/>
      <c r="H739" s="197"/>
      <c r="I739" s="197"/>
      <c r="J739" s="197"/>
      <c r="K739" s="197"/>
      <c r="L739" s="197"/>
      <c r="M739" s="197"/>
      <c r="N739" s="197"/>
      <c r="O739" s="197"/>
      <c r="P739" s="197"/>
      <c r="Q739" s="197"/>
      <c r="R739" s="197"/>
      <c r="S739" s="197"/>
      <c r="T739" s="197"/>
    </row>
    <row r="740" ht="15.75" customHeight="1">
      <c r="E740" s="197"/>
      <c r="F740" s="197"/>
      <c r="G740" s="197"/>
      <c r="H740" s="197"/>
      <c r="I740" s="197"/>
      <c r="J740" s="197"/>
      <c r="K740" s="197"/>
      <c r="L740" s="197"/>
      <c r="M740" s="197"/>
      <c r="N740" s="197"/>
      <c r="O740" s="197"/>
      <c r="P740" s="197"/>
      <c r="Q740" s="197"/>
      <c r="R740" s="197"/>
      <c r="S740" s="197"/>
      <c r="T740" s="197"/>
    </row>
    <row r="741" ht="15.75" customHeight="1">
      <c r="E741" s="197"/>
      <c r="F741" s="197"/>
      <c r="G741" s="197"/>
      <c r="H741" s="197"/>
      <c r="I741" s="197"/>
      <c r="J741" s="197"/>
      <c r="K741" s="197"/>
      <c r="L741" s="197"/>
      <c r="M741" s="197"/>
      <c r="N741" s="197"/>
      <c r="O741" s="197"/>
      <c r="P741" s="197"/>
      <c r="Q741" s="197"/>
      <c r="R741" s="197"/>
      <c r="S741" s="197"/>
      <c r="T741" s="197"/>
    </row>
    <row r="742" ht="15.75" customHeight="1">
      <c r="E742" s="197"/>
      <c r="F742" s="197"/>
      <c r="G742" s="197"/>
      <c r="H742" s="197"/>
      <c r="I742" s="197"/>
      <c r="J742" s="197"/>
      <c r="K742" s="197"/>
      <c r="L742" s="197"/>
      <c r="M742" s="197"/>
      <c r="N742" s="197"/>
      <c r="O742" s="197"/>
      <c r="P742" s="197"/>
      <c r="Q742" s="197"/>
      <c r="R742" s="197"/>
      <c r="S742" s="197"/>
      <c r="T742" s="197"/>
    </row>
    <row r="743" ht="15.75" customHeight="1">
      <c r="E743" s="197"/>
      <c r="F743" s="197"/>
      <c r="G743" s="197"/>
      <c r="H743" s="197"/>
      <c r="I743" s="197"/>
      <c r="J743" s="197"/>
      <c r="K743" s="197"/>
      <c r="L743" s="197"/>
      <c r="M743" s="197"/>
      <c r="N743" s="197"/>
      <c r="O743" s="197"/>
      <c r="P743" s="197"/>
      <c r="Q743" s="197"/>
      <c r="R743" s="197"/>
      <c r="S743" s="197"/>
      <c r="T743" s="197"/>
    </row>
    <row r="744" ht="15.75" customHeight="1">
      <c r="E744" s="197"/>
      <c r="F744" s="197"/>
      <c r="G744" s="197"/>
      <c r="H744" s="197"/>
      <c r="I744" s="197"/>
      <c r="J744" s="197"/>
      <c r="K744" s="197"/>
      <c r="L744" s="197"/>
      <c r="M744" s="197"/>
      <c r="N744" s="197"/>
      <c r="O744" s="197"/>
      <c r="P744" s="197"/>
      <c r="Q744" s="197"/>
      <c r="R744" s="197"/>
      <c r="S744" s="197"/>
      <c r="T744" s="197"/>
    </row>
    <row r="745" ht="15.75" customHeight="1">
      <c r="E745" s="197"/>
      <c r="F745" s="197"/>
      <c r="G745" s="197"/>
      <c r="H745" s="197"/>
      <c r="I745" s="197"/>
      <c r="J745" s="197"/>
      <c r="K745" s="197"/>
      <c r="L745" s="197"/>
      <c r="M745" s="197"/>
      <c r="N745" s="197"/>
      <c r="O745" s="197"/>
      <c r="P745" s="197"/>
      <c r="Q745" s="197"/>
      <c r="R745" s="197"/>
      <c r="S745" s="197"/>
      <c r="T745" s="197"/>
    </row>
    <row r="746" ht="15.75" customHeight="1">
      <c r="E746" s="197"/>
      <c r="F746" s="197"/>
      <c r="G746" s="197"/>
      <c r="H746" s="197"/>
      <c r="I746" s="197"/>
      <c r="J746" s="197"/>
      <c r="K746" s="197"/>
      <c r="L746" s="197"/>
      <c r="M746" s="197"/>
      <c r="N746" s="197"/>
      <c r="O746" s="197"/>
      <c r="P746" s="197"/>
      <c r="Q746" s="197"/>
      <c r="R746" s="197"/>
      <c r="S746" s="197"/>
      <c r="T746" s="197"/>
    </row>
    <row r="747" ht="15.75" customHeight="1">
      <c r="E747" s="197"/>
      <c r="F747" s="197"/>
      <c r="G747" s="197"/>
      <c r="H747" s="197"/>
      <c r="I747" s="197"/>
      <c r="J747" s="197"/>
      <c r="K747" s="197"/>
      <c r="L747" s="197"/>
      <c r="M747" s="197"/>
      <c r="N747" s="197"/>
      <c r="O747" s="197"/>
      <c r="P747" s="197"/>
      <c r="Q747" s="197"/>
      <c r="R747" s="197"/>
      <c r="S747" s="197"/>
      <c r="T747" s="197"/>
    </row>
    <row r="748" ht="15.75" customHeight="1">
      <c r="E748" s="197"/>
      <c r="F748" s="197"/>
      <c r="G748" s="197"/>
      <c r="H748" s="197"/>
      <c r="I748" s="197"/>
      <c r="J748" s="197"/>
      <c r="K748" s="197"/>
      <c r="L748" s="197"/>
      <c r="M748" s="197"/>
      <c r="N748" s="197"/>
      <c r="O748" s="197"/>
      <c r="P748" s="197"/>
      <c r="Q748" s="197"/>
      <c r="R748" s="197"/>
      <c r="S748" s="197"/>
      <c r="T748" s="197"/>
    </row>
    <row r="749" ht="15.75" customHeight="1">
      <c r="E749" s="197"/>
      <c r="F749" s="197"/>
      <c r="G749" s="197"/>
      <c r="H749" s="197"/>
      <c r="I749" s="197"/>
      <c r="J749" s="197"/>
      <c r="K749" s="197"/>
      <c r="L749" s="197"/>
      <c r="M749" s="197"/>
      <c r="N749" s="197"/>
      <c r="O749" s="197"/>
      <c r="P749" s="197"/>
      <c r="Q749" s="197"/>
      <c r="R749" s="197"/>
      <c r="S749" s="197"/>
      <c r="T749" s="197"/>
    </row>
    <row r="750" ht="15.75" customHeight="1">
      <c r="E750" s="197"/>
      <c r="F750" s="197"/>
      <c r="G750" s="197"/>
      <c r="H750" s="197"/>
      <c r="I750" s="197"/>
      <c r="J750" s="197"/>
      <c r="K750" s="197"/>
      <c r="L750" s="197"/>
      <c r="M750" s="197"/>
      <c r="N750" s="197"/>
      <c r="O750" s="197"/>
      <c r="P750" s="197"/>
      <c r="Q750" s="197"/>
      <c r="R750" s="197"/>
      <c r="S750" s="197"/>
      <c r="T750" s="197"/>
    </row>
    <row r="751" ht="15.75" customHeight="1">
      <c r="E751" s="197"/>
      <c r="F751" s="197"/>
      <c r="G751" s="197"/>
      <c r="H751" s="197"/>
      <c r="I751" s="197"/>
      <c r="J751" s="197"/>
      <c r="K751" s="197"/>
      <c r="L751" s="197"/>
      <c r="M751" s="197"/>
      <c r="N751" s="197"/>
      <c r="O751" s="197"/>
      <c r="P751" s="197"/>
      <c r="Q751" s="197"/>
      <c r="R751" s="197"/>
      <c r="S751" s="197"/>
      <c r="T751" s="197"/>
    </row>
    <row r="752" ht="15.75" customHeight="1">
      <c r="E752" s="197"/>
      <c r="F752" s="197"/>
      <c r="G752" s="197"/>
      <c r="H752" s="197"/>
      <c r="I752" s="197"/>
      <c r="J752" s="197"/>
      <c r="K752" s="197"/>
      <c r="L752" s="197"/>
      <c r="M752" s="197"/>
      <c r="N752" s="197"/>
      <c r="O752" s="197"/>
      <c r="P752" s="197"/>
      <c r="Q752" s="197"/>
      <c r="R752" s="197"/>
      <c r="S752" s="197"/>
      <c r="T752" s="197"/>
    </row>
    <row r="753" ht="15.75" customHeight="1">
      <c r="E753" s="197"/>
      <c r="F753" s="197"/>
      <c r="G753" s="197"/>
      <c r="H753" s="197"/>
      <c r="I753" s="197"/>
      <c r="J753" s="197"/>
      <c r="K753" s="197"/>
      <c r="L753" s="197"/>
      <c r="M753" s="197"/>
      <c r="N753" s="197"/>
      <c r="O753" s="197"/>
      <c r="P753" s="197"/>
      <c r="Q753" s="197"/>
      <c r="R753" s="197"/>
      <c r="S753" s="197"/>
      <c r="T753" s="197"/>
    </row>
    <row r="754" ht="15.75" customHeight="1">
      <c r="E754" s="197"/>
      <c r="F754" s="197"/>
      <c r="G754" s="197"/>
      <c r="H754" s="197"/>
      <c r="I754" s="197"/>
      <c r="J754" s="197"/>
      <c r="K754" s="197"/>
      <c r="L754" s="197"/>
      <c r="M754" s="197"/>
      <c r="N754" s="197"/>
      <c r="O754" s="197"/>
      <c r="P754" s="197"/>
      <c r="Q754" s="197"/>
      <c r="R754" s="197"/>
      <c r="S754" s="197"/>
      <c r="T754" s="197"/>
    </row>
    <row r="755" ht="15.75" customHeight="1">
      <c r="E755" s="197"/>
      <c r="F755" s="197"/>
      <c r="G755" s="197"/>
      <c r="H755" s="197"/>
      <c r="I755" s="197"/>
      <c r="J755" s="197"/>
      <c r="K755" s="197"/>
      <c r="L755" s="197"/>
      <c r="M755" s="197"/>
      <c r="N755" s="197"/>
      <c r="O755" s="197"/>
      <c r="P755" s="197"/>
      <c r="Q755" s="197"/>
      <c r="R755" s="197"/>
      <c r="S755" s="197"/>
      <c r="T755" s="197"/>
    </row>
    <row r="756" ht="15.75" customHeight="1">
      <c r="E756" s="197"/>
      <c r="F756" s="197"/>
      <c r="G756" s="197"/>
      <c r="H756" s="197"/>
      <c r="I756" s="197"/>
      <c r="J756" s="197"/>
      <c r="K756" s="197"/>
      <c r="L756" s="197"/>
      <c r="M756" s="197"/>
      <c r="N756" s="197"/>
      <c r="O756" s="197"/>
      <c r="P756" s="197"/>
      <c r="Q756" s="197"/>
      <c r="R756" s="197"/>
      <c r="S756" s="197"/>
      <c r="T756" s="197"/>
    </row>
    <row r="757" ht="15.75" customHeight="1">
      <c r="E757" s="197"/>
      <c r="F757" s="197"/>
      <c r="G757" s="197"/>
      <c r="H757" s="197"/>
      <c r="I757" s="197"/>
      <c r="J757" s="197"/>
      <c r="K757" s="197"/>
      <c r="L757" s="197"/>
      <c r="M757" s="197"/>
      <c r="N757" s="197"/>
      <c r="O757" s="197"/>
      <c r="P757" s="197"/>
      <c r="Q757" s="197"/>
      <c r="R757" s="197"/>
      <c r="S757" s="197"/>
      <c r="T757" s="197"/>
    </row>
    <row r="758" ht="15.75" customHeight="1">
      <c r="E758" s="197"/>
      <c r="F758" s="197"/>
      <c r="G758" s="197"/>
      <c r="H758" s="197"/>
      <c r="I758" s="197"/>
      <c r="J758" s="197"/>
      <c r="K758" s="197"/>
      <c r="L758" s="197"/>
      <c r="M758" s="197"/>
      <c r="N758" s="197"/>
      <c r="O758" s="197"/>
      <c r="P758" s="197"/>
      <c r="Q758" s="197"/>
      <c r="R758" s="197"/>
      <c r="S758" s="197"/>
      <c r="T758" s="197"/>
    </row>
    <row r="759" ht="15.75" customHeight="1">
      <c r="E759" s="197"/>
      <c r="F759" s="197"/>
      <c r="G759" s="197"/>
      <c r="H759" s="197"/>
      <c r="I759" s="197"/>
      <c r="J759" s="197"/>
      <c r="K759" s="197"/>
      <c r="L759" s="197"/>
      <c r="M759" s="197"/>
      <c r="N759" s="197"/>
      <c r="O759" s="197"/>
      <c r="P759" s="197"/>
      <c r="Q759" s="197"/>
      <c r="R759" s="197"/>
      <c r="S759" s="197"/>
      <c r="T759" s="197"/>
    </row>
    <row r="760" ht="15.75" customHeight="1">
      <c r="E760" s="197"/>
      <c r="F760" s="197"/>
      <c r="G760" s="197"/>
      <c r="H760" s="197"/>
      <c r="I760" s="197"/>
      <c r="J760" s="197"/>
      <c r="K760" s="197"/>
      <c r="L760" s="197"/>
      <c r="M760" s="197"/>
      <c r="N760" s="197"/>
      <c r="O760" s="197"/>
      <c r="P760" s="197"/>
      <c r="Q760" s="197"/>
      <c r="R760" s="197"/>
      <c r="S760" s="197"/>
      <c r="T760" s="197"/>
    </row>
    <row r="761" ht="15.75" customHeight="1">
      <c r="E761" s="197"/>
      <c r="F761" s="197"/>
      <c r="G761" s="197"/>
      <c r="H761" s="197"/>
      <c r="I761" s="197"/>
      <c r="J761" s="197"/>
      <c r="K761" s="197"/>
      <c r="L761" s="197"/>
      <c r="M761" s="197"/>
      <c r="N761" s="197"/>
      <c r="O761" s="197"/>
      <c r="P761" s="197"/>
      <c r="Q761" s="197"/>
      <c r="R761" s="197"/>
      <c r="S761" s="197"/>
      <c r="T761" s="197"/>
    </row>
    <row r="762" ht="15.75" customHeight="1">
      <c r="E762" s="197"/>
      <c r="F762" s="197"/>
      <c r="G762" s="197"/>
      <c r="H762" s="197"/>
      <c r="I762" s="197"/>
      <c r="J762" s="197"/>
      <c r="K762" s="197"/>
      <c r="L762" s="197"/>
      <c r="M762" s="197"/>
      <c r="N762" s="197"/>
      <c r="O762" s="197"/>
      <c r="P762" s="197"/>
      <c r="Q762" s="197"/>
      <c r="R762" s="197"/>
      <c r="S762" s="197"/>
      <c r="T762" s="197"/>
    </row>
    <row r="763" ht="15.75" customHeight="1">
      <c r="E763" s="197"/>
      <c r="F763" s="197"/>
      <c r="G763" s="197"/>
      <c r="H763" s="197"/>
      <c r="I763" s="197"/>
      <c r="J763" s="197"/>
      <c r="K763" s="197"/>
      <c r="L763" s="197"/>
      <c r="M763" s="197"/>
      <c r="N763" s="197"/>
      <c r="O763" s="197"/>
      <c r="P763" s="197"/>
      <c r="Q763" s="197"/>
      <c r="R763" s="197"/>
      <c r="S763" s="197"/>
      <c r="T763" s="197"/>
    </row>
    <row r="764" ht="15.75" customHeight="1">
      <c r="E764" s="197"/>
      <c r="F764" s="197"/>
      <c r="G764" s="197"/>
      <c r="H764" s="197"/>
      <c r="I764" s="197"/>
      <c r="J764" s="197"/>
      <c r="K764" s="197"/>
      <c r="L764" s="197"/>
      <c r="M764" s="197"/>
      <c r="N764" s="197"/>
      <c r="O764" s="197"/>
      <c r="P764" s="197"/>
      <c r="Q764" s="197"/>
      <c r="R764" s="197"/>
      <c r="S764" s="197"/>
      <c r="T764" s="197"/>
    </row>
    <row r="765" ht="15.75" customHeight="1">
      <c r="E765" s="197"/>
      <c r="F765" s="197"/>
      <c r="G765" s="197"/>
      <c r="H765" s="197"/>
      <c r="I765" s="197"/>
      <c r="J765" s="197"/>
      <c r="K765" s="197"/>
      <c r="L765" s="197"/>
      <c r="M765" s="197"/>
      <c r="N765" s="197"/>
      <c r="O765" s="197"/>
      <c r="P765" s="197"/>
      <c r="Q765" s="197"/>
      <c r="R765" s="197"/>
      <c r="S765" s="197"/>
      <c r="T765" s="197"/>
    </row>
    <row r="766" ht="15.75" customHeight="1">
      <c r="E766" s="197"/>
      <c r="F766" s="197"/>
      <c r="G766" s="197"/>
      <c r="H766" s="197"/>
      <c r="I766" s="197"/>
      <c r="J766" s="197"/>
      <c r="K766" s="197"/>
      <c r="L766" s="197"/>
      <c r="M766" s="197"/>
      <c r="N766" s="197"/>
      <c r="O766" s="197"/>
      <c r="P766" s="197"/>
      <c r="Q766" s="197"/>
      <c r="R766" s="197"/>
      <c r="S766" s="197"/>
      <c r="T766" s="197"/>
    </row>
    <row r="767" ht="15.75" customHeight="1">
      <c r="E767" s="197"/>
      <c r="F767" s="197"/>
      <c r="G767" s="197"/>
      <c r="H767" s="197"/>
      <c r="I767" s="197"/>
      <c r="J767" s="197"/>
      <c r="K767" s="197"/>
      <c r="L767" s="197"/>
      <c r="M767" s="197"/>
      <c r="N767" s="197"/>
      <c r="O767" s="197"/>
      <c r="P767" s="197"/>
      <c r="Q767" s="197"/>
      <c r="R767" s="197"/>
      <c r="S767" s="197"/>
      <c r="T767" s="197"/>
    </row>
    <row r="768" ht="15.75" customHeight="1">
      <c r="E768" s="197"/>
      <c r="F768" s="197"/>
      <c r="G768" s="197"/>
      <c r="H768" s="197"/>
      <c r="I768" s="197"/>
      <c r="J768" s="197"/>
      <c r="K768" s="197"/>
      <c r="L768" s="197"/>
      <c r="M768" s="197"/>
      <c r="N768" s="197"/>
      <c r="O768" s="197"/>
      <c r="P768" s="197"/>
      <c r="Q768" s="197"/>
      <c r="R768" s="197"/>
      <c r="S768" s="197"/>
      <c r="T768" s="197"/>
    </row>
    <row r="769" ht="15.75" customHeight="1">
      <c r="E769" s="197"/>
      <c r="F769" s="197"/>
      <c r="G769" s="197"/>
      <c r="H769" s="197"/>
      <c r="I769" s="197"/>
      <c r="J769" s="197"/>
      <c r="K769" s="197"/>
      <c r="L769" s="197"/>
      <c r="M769" s="197"/>
      <c r="N769" s="197"/>
      <c r="O769" s="197"/>
      <c r="P769" s="197"/>
      <c r="Q769" s="197"/>
      <c r="R769" s="197"/>
      <c r="S769" s="197"/>
      <c r="T769" s="197"/>
    </row>
    <row r="770" ht="15.75" customHeight="1">
      <c r="E770" s="197"/>
      <c r="F770" s="197"/>
      <c r="G770" s="197"/>
      <c r="H770" s="197"/>
      <c r="I770" s="197"/>
      <c r="J770" s="197"/>
      <c r="K770" s="197"/>
      <c r="L770" s="197"/>
      <c r="M770" s="197"/>
      <c r="N770" s="197"/>
      <c r="O770" s="197"/>
      <c r="P770" s="197"/>
      <c r="Q770" s="197"/>
      <c r="R770" s="197"/>
      <c r="S770" s="197"/>
      <c r="T770" s="197"/>
    </row>
    <row r="771" ht="15.75" customHeight="1">
      <c r="E771" s="197"/>
      <c r="F771" s="197"/>
      <c r="G771" s="197"/>
      <c r="H771" s="197"/>
      <c r="I771" s="197"/>
      <c r="J771" s="197"/>
      <c r="K771" s="197"/>
      <c r="L771" s="197"/>
      <c r="M771" s="197"/>
      <c r="N771" s="197"/>
      <c r="O771" s="197"/>
      <c r="P771" s="197"/>
      <c r="Q771" s="197"/>
      <c r="R771" s="197"/>
      <c r="S771" s="197"/>
      <c r="T771" s="197"/>
    </row>
    <row r="772" ht="15.75" customHeight="1">
      <c r="E772" s="197"/>
      <c r="F772" s="197"/>
      <c r="G772" s="197"/>
      <c r="H772" s="197"/>
      <c r="I772" s="197"/>
      <c r="J772" s="197"/>
      <c r="K772" s="197"/>
      <c r="L772" s="197"/>
      <c r="M772" s="197"/>
      <c r="N772" s="197"/>
      <c r="O772" s="197"/>
      <c r="P772" s="197"/>
      <c r="Q772" s="197"/>
      <c r="R772" s="197"/>
      <c r="S772" s="197"/>
      <c r="T772" s="197"/>
    </row>
    <row r="773" ht="15.75" customHeight="1">
      <c r="E773" s="197"/>
      <c r="F773" s="197"/>
      <c r="G773" s="197"/>
      <c r="H773" s="197"/>
      <c r="I773" s="197"/>
      <c r="J773" s="197"/>
      <c r="K773" s="197"/>
      <c r="L773" s="197"/>
      <c r="M773" s="197"/>
      <c r="N773" s="197"/>
      <c r="O773" s="197"/>
      <c r="P773" s="197"/>
      <c r="Q773" s="197"/>
      <c r="R773" s="197"/>
      <c r="S773" s="197"/>
      <c r="T773" s="197"/>
    </row>
    <row r="774" ht="15.75" customHeight="1">
      <c r="E774" s="197"/>
      <c r="F774" s="197"/>
      <c r="G774" s="197"/>
      <c r="H774" s="197"/>
      <c r="I774" s="197"/>
      <c r="J774" s="197"/>
      <c r="K774" s="197"/>
      <c r="L774" s="197"/>
      <c r="M774" s="197"/>
      <c r="N774" s="197"/>
      <c r="O774" s="197"/>
      <c r="P774" s="197"/>
      <c r="Q774" s="197"/>
      <c r="R774" s="197"/>
      <c r="S774" s="197"/>
      <c r="T774" s="197"/>
    </row>
    <row r="775" ht="15.75" customHeight="1">
      <c r="E775" s="197"/>
      <c r="F775" s="197"/>
      <c r="G775" s="197"/>
      <c r="H775" s="197"/>
      <c r="I775" s="197"/>
      <c r="J775" s="197"/>
      <c r="K775" s="197"/>
      <c r="L775" s="197"/>
      <c r="M775" s="197"/>
      <c r="N775" s="197"/>
      <c r="O775" s="197"/>
      <c r="P775" s="197"/>
      <c r="Q775" s="197"/>
      <c r="R775" s="197"/>
      <c r="S775" s="197"/>
      <c r="T775" s="197"/>
    </row>
    <row r="776" ht="15.75" customHeight="1">
      <c r="E776" s="197"/>
      <c r="F776" s="197"/>
      <c r="G776" s="197"/>
      <c r="H776" s="197"/>
      <c r="I776" s="197"/>
      <c r="J776" s="197"/>
      <c r="K776" s="197"/>
      <c r="L776" s="197"/>
      <c r="M776" s="197"/>
      <c r="N776" s="197"/>
      <c r="O776" s="197"/>
      <c r="P776" s="197"/>
      <c r="Q776" s="197"/>
      <c r="R776" s="197"/>
      <c r="S776" s="197"/>
      <c r="T776" s="197"/>
    </row>
    <row r="777" ht="15.75" customHeight="1">
      <c r="E777" s="197"/>
      <c r="F777" s="197"/>
      <c r="G777" s="197"/>
      <c r="H777" s="197"/>
      <c r="I777" s="197"/>
      <c r="J777" s="197"/>
      <c r="K777" s="197"/>
      <c r="L777" s="197"/>
      <c r="M777" s="197"/>
      <c r="N777" s="197"/>
      <c r="O777" s="197"/>
      <c r="P777" s="197"/>
      <c r="Q777" s="197"/>
      <c r="R777" s="197"/>
      <c r="S777" s="197"/>
      <c r="T777" s="197"/>
    </row>
    <row r="778" ht="15.75" customHeight="1">
      <c r="E778" s="197"/>
      <c r="F778" s="197"/>
      <c r="G778" s="197"/>
      <c r="H778" s="197"/>
      <c r="I778" s="197"/>
      <c r="J778" s="197"/>
      <c r="K778" s="197"/>
      <c r="L778" s="197"/>
      <c r="M778" s="197"/>
      <c r="N778" s="197"/>
      <c r="O778" s="197"/>
      <c r="P778" s="197"/>
      <c r="Q778" s="197"/>
      <c r="R778" s="197"/>
      <c r="S778" s="197"/>
      <c r="T778" s="197"/>
    </row>
    <row r="779" ht="15.75" customHeight="1">
      <c r="E779" s="197"/>
      <c r="F779" s="197"/>
      <c r="G779" s="197"/>
      <c r="H779" s="197"/>
      <c r="I779" s="197"/>
      <c r="J779" s="197"/>
      <c r="K779" s="197"/>
      <c r="L779" s="197"/>
      <c r="M779" s="197"/>
      <c r="N779" s="197"/>
      <c r="O779" s="197"/>
      <c r="P779" s="197"/>
      <c r="Q779" s="197"/>
      <c r="R779" s="197"/>
      <c r="S779" s="197"/>
      <c r="T779" s="197"/>
    </row>
    <row r="780" ht="15.75" customHeight="1">
      <c r="E780" s="197"/>
      <c r="F780" s="197"/>
      <c r="G780" s="197"/>
      <c r="H780" s="197"/>
      <c r="I780" s="197"/>
      <c r="J780" s="197"/>
      <c r="K780" s="197"/>
      <c r="L780" s="197"/>
      <c r="M780" s="197"/>
      <c r="N780" s="197"/>
      <c r="O780" s="197"/>
      <c r="P780" s="197"/>
      <c r="Q780" s="197"/>
      <c r="R780" s="197"/>
      <c r="S780" s="197"/>
      <c r="T780" s="197"/>
    </row>
    <row r="781" ht="15.75" customHeight="1">
      <c r="E781" s="197"/>
      <c r="F781" s="197"/>
      <c r="G781" s="197"/>
      <c r="H781" s="197"/>
      <c r="I781" s="197"/>
      <c r="J781" s="197"/>
      <c r="K781" s="197"/>
      <c r="L781" s="197"/>
      <c r="M781" s="197"/>
      <c r="N781" s="197"/>
      <c r="O781" s="197"/>
      <c r="P781" s="197"/>
      <c r="Q781" s="197"/>
      <c r="R781" s="197"/>
      <c r="S781" s="197"/>
      <c r="T781" s="197"/>
    </row>
    <row r="782" ht="15.75" customHeight="1">
      <c r="E782" s="197"/>
      <c r="F782" s="197"/>
      <c r="G782" s="197"/>
      <c r="H782" s="197"/>
      <c r="I782" s="197"/>
      <c r="J782" s="197"/>
      <c r="K782" s="197"/>
      <c r="L782" s="197"/>
      <c r="M782" s="197"/>
      <c r="N782" s="197"/>
      <c r="O782" s="197"/>
      <c r="P782" s="197"/>
      <c r="Q782" s="197"/>
      <c r="R782" s="197"/>
      <c r="S782" s="197"/>
      <c r="T782" s="197"/>
    </row>
    <row r="783" ht="15.75" customHeight="1">
      <c r="E783" s="197"/>
      <c r="F783" s="197"/>
      <c r="G783" s="197"/>
      <c r="H783" s="197"/>
      <c r="I783" s="197"/>
      <c r="J783" s="197"/>
      <c r="K783" s="197"/>
      <c r="L783" s="197"/>
      <c r="M783" s="197"/>
      <c r="N783" s="197"/>
      <c r="O783" s="197"/>
      <c r="P783" s="197"/>
      <c r="Q783" s="197"/>
      <c r="R783" s="197"/>
      <c r="S783" s="197"/>
      <c r="T783" s="197"/>
    </row>
    <row r="784" ht="15.75" customHeight="1">
      <c r="E784" s="197"/>
      <c r="F784" s="197"/>
      <c r="G784" s="197"/>
      <c r="H784" s="197"/>
      <c r="I784" s="197"/>
      <c r="J784" s="197"/>
      <c r="K784" s="197"/>
      <c r="L784" s="197"/>
      <c r="M784" s="197"/>
      <c r="N784" s="197"/>
      <c r="O784" s="197"/>
      <c r="P784" s="197"/>
      <c r="Q784" s="197"/>
      <c r="R784" s="197"/>
      <c r="S784" s="197"/>
      <c r="T784" s="197"/>
    </row>
    <row r="785" ht="15.75" customHeight="1">
      <c r="E785" s="197"/>
      <c r="F785" s="197"/>
      <c r="G785" s="197"/>
      <c r="H785" s="197"/>
      <c r="I785" s="197"/>
      <c r="J785" s="197"/>
      <c r="K785" s="197"/>
      <c r="L785" s="197"/>
      <c r="M785" s="197"/>
      <c r="N785" s="197"/>
      <c r="O785" s="197"/>
      <c r="P785" s="197"/>
      <c r="Q785" s="197"/>
      <c r="R785" s="197"/>
      <c r="S785" s="197"/>
      <c r="T785" s="197"/>
    </row>
    <row r="786" ht="15.75" customHeight="1">
      <c r="E786" s="197"/>
      <c r="F786" s="197"/>
      <c r="G786" s="197"/>
      <c r="H786" s="197"/>
      <c r="I786" s="197"/>
      <c r="J786" s="197"/>
      <c r="K786" s="197"/>
      <c r="L786" s="197"/>
      <c r="M786" s="197"/>
      <c r="N786" s="197"/>
      <c r="O786" s="197"/>
      <c r="P786" s="197"/>
      <c r="Q786" s="197"/>
      <c r="R786" s="197"/>
      <c r="S786" s="197"/>
      <c r="T786" s="197"/>
    </row>
    <row r="787" ht="15.75" customHeight="1">
      <c r="E787" s="197"/>
      <c r="F787" s="197"/>
      <c r="G787" s="197"/>
      <c r="H787" s="197"/>
      <c r="I787" s="197"/>
      <c r="J787" s="197"/>
      <c r="K787" s="197"/>
      <c r="L787" s="197"/>
      <c r="M787" s="197"/>
      <c r="N787" s="197"/>
      <c r="O787" s="197"/>
      <c r="P787" s="197"/>
      <c r="Q787" s="197"/>
      <c r="R787" s="197"/>
      <c r="S787" s="197"/>
      <c r="T787" s="197"/>
    </row>
    <row r="788" ht="15.75" customHeight="1">
      <c r="E788" s="197"/>
      <c r="F788" s="197"/>
      <c r="G788" s="197"/>
      <c r="H788" s="197"/>
      <c r="I788" s="197"/>
      <c r="J788" s="197"/>
      <c r="K788" s="197"/>
      <c r="L788" s="197"/>
      <c r="M788" s="197"/>
      <c r="N788" s="197"/>
      <c r="O788" s="197"/>
      <c r="P788" s="197"/>
      <c r="Q788" s="197"/>
      <c r="R788" s="197"/>
      <c r="S788" s="197"/>
      <c r="T788" s="197"/>
    </row>
    <row r="789" ht="15.75" customHeight="1">
      <c r="E789" s="197"/>
      <c r="F789" s="197"/>
      <c r="G789" s="197"/>
      <c r="H789" s="197"/>
      <c r="I789" s="197"/>
      <c r="J789" s="197"/>
      <c r="K789" s="197"/>
      <c r="L789" s="197"/>
      <c r="M789" s="197"/>
      <c r="N789" s="197"/>
      <c r="O789" s="197"/>
      <c r="P789" s="197"/>
      <c r="Q789" s="197"/>
      <c r="R789" s="197"/>
      <c r="S789" s="197"/>
      <c r="T789" s="197"/>
    </row>
    <row r="790" ht="15.75" customHeight="1">
      <c r="E790" s="197"/>
      <c r="F790" s="197"/>
      <c r="G790" s="197"/>
      <c r="H790" s="197"/>
      <c r="I790" s="197"/>
      <c r="J790" s="197"/>
      <c r="K790" s="197"/>
      <c r="L790" s="197"/>
      <c r="M790" s="197"/>
      <c r="N790" s="197"/>
      <c r="O790" s="197"/>
      <c r="P790" s="197"/>
      <c r="Q790" s="197"/>
      <c r="R790" s="197"/>
      <c r="S790" s="197"/>
      <c r="T790" s="197"/>
    </row>
    <row r="791" ht="15.75" customHeight="1">
      <c r="E791" s="197"/>
      <c r="F791" s="197"/>
      <c r="G791" s="197"/>
      <c r="H791" s="197"/>
      <c r="I791" s="197"/>
      <c r="J791" s="197"/>
      <c r="K791" s="197"/>
      <c r="L791" s="197"/>
      <c r="M791" s="197"/>
      <c r="N791" s="197"/>
      <c r="O791" s="197"/>
      <c r="P791" s="197"/>
      <c r="Q791" s="197"/>
      <c r="R791" s="197"/>
      <c r="S791" s="197"/>
      <c r="T791" s="197"/>
    </row>
    <row r="792" ht="15.75" customHeight="1">
      <c r="E792" s="197"/>
      <c r="F792" s="197"/>
      <c r="G792" s="197"/>
      <c r="H792" s="197"/>
      <c r="I792" s="197"/>
      <c r="J792" s="197"/>
      <c r="K792" s="197"/>
      <c r="L792" s="197"/>
      <c r="M792" s="197"/>
      <c r="N792" s="197"/>
      <c r="O792" s="197"/>
      <c r="P792" s="197"/>
      <c r="Q792" s="197"/>
      <c r="R792" s="197"/>
      <c r="S792" s="197"/>
      <c r="T792" s="197"/>
    </row>
    <row r="793" ht="15.75" customHeight="1">
      <c r="E793" s="197"/>
      <c r="F793" s="197"/>
      <c r="G793" s="197"/>
      <c r="H793" s="197"/>
      <c r="I793" s="197"/>
      <c r="J793" s="197"/>
      <c r="K793" s="197"/>
      <c r="L793" s="197"/>
      <c r="M793" s="197"/>
      <c r="N793" s="197"/>
      <c r="O793" s="197"/>
      <c r="P793" s="197"/>
      <c r="Q793" s="197"/>
      <c r="R793" s="197"/>
      <c r="S793" s="197"/>
      <c r="T793" s="197"/>
    </row>
    <row r="794" ht="15.75" customHeight="1">
      <c r="E794" s="197"/>
      <c r="F794" s="197"/>
      <c r="G794" s="197"/>
      <c r="H794" s="197"/>
      <c r="I794" s="197"/>
      <c r="J794" s="197"/>
      <c r="K794" s="197"/>
      <c r="L794" s="197"/>
      <c r="M794" s="197"/>
      <c r="N794" s="197"/>
      <c r="O794" s="197"/>
      <c r="P794" s="197"/>
      <c r="Q794" s="197"/>
      <c r="R794" s="197"/>
      <c r="S794" s="197"/>
      <c r="T794" s="197"/>
    </row>
    <row r="795" ht="15.75" customHeight="1">
      <c r="E795" s="197"/>
      <c r="F795" s="197"/>
      <c r="G795" s="197"/>
      <c r="H795" s="197"/>
      <c r="I795" s="197"/>
      <c r="J795" s="197"/>
      <c r="K795" s="197"/>
      <c r="L795" s="197"/>
      <c r="M795" s="197"/>
      <c r="N795" s="197"/>
      <c r="O795" s="197"/>
      <c r="P795" s="197"/>
      <c r="Q795" s="197"/>
      <c r="R795" s="197"/>
      <c r="S795" s="197"/>
      <c r="T795" s="197"/>
    </row>
    <row r="796" ht="15.75" customHeight="1">
      <c r="E796" s="197"/>
      <c r="F796" s="197"/>
      <c r="G796" s="197"/>
      <c r="H796" s="197"/>
      <c r="I796" s="197"/>
      <c r="J796" s="197"/>
      <c r="K796" s="197"/>
      <c r="L796" s="197"/>
      <c r="M796" s="197"/>
      <c r="N796" s="197"/>
      <c r="O796" s="197"/>
      <c r="P796" s="197"/>
      <c r="Q796" s="197"/>
      <c r="R796" s="197"/>
      <c r="S796" s="197"/>
      <c r="T796" s="197"/>
    </row>
    <row r="797" ht="15.75" customHeight="1">
      <c r="E797" s="197"/>
      <c r="F797" s="197"/>
      <c r="G797" s="197"/>
      <c r="H797" s="197"/>
      <c r="I797" s="197"/>
      <c r="J797" s="197"/>
      <c r="K797" s="197"/>
      <c r="L797" s="197"/>
      <c r="M797" s="197"/>
      <c r="N797" s="197"/>
      <c r="O797" s="197"/>
      <c r="P797" s="197"/>
      <c r="Q797" s="197"/>
      <c r="R797" s="197"/>
      <c r="S797" s="197"/>
      <c r="T797" s="197"/>
    </row>
    <row r="798" ht="15.75" customHeight="1">
      <c r="E798" s="197"/>
      <c r="F798" s="197"/>
      <c r="G798" s="197"/>
      <c r="H798" s="197"/>
      <c r="I798" s="197"/>
      <c r="J798" s="197"/>
      <c r="K798" s="197"/>
      <c r="L798" s="197"/>
      <c r="M798" s="197"/>
      <c r="N798" s="197"/>
      <c r="O798" s="197"/>
      <c r="P798" s="197"/>
      <c r="Q798" s="197"/>
      <c r="R798" s="197"/>
      <c r="S798" s="197"/>
      <c r="T798" s="197"/>
    </row>
    <row r="799" ht="15.75" customHeight="1">
      <c r="E799" s="197"/>
      <c r="F799" s="197"/>
      <c r="G799" s="197"/>
      <c r="H799" s="197"/>
      <c r="I799" s="197"/>
      <c r="J799" s="197"/>
      <c r="K799" s="197"/>
      <c r="L799" s="197"/>
      <c r="M799" s="197"/>
      <c r="N799" s="197"/>
      <c r="O799" s="197"/>
      <c r="P799" s="197"/>
      <c r="Q799" s="197"/>
      <c r="R799" s="197"/>
      <c r="S799" s="197"/>
      <c r="T799" s="197"/>
    </row>
    <row r="800" ht="15.75" customHeight="1">
      <c r="E800" s="197"/>
      <c r="F800" s="197"/>
      <c r="G800" s="197"/>
      <c r="H800" s="197"/>
      <c r="I800" s="197"/>
      <c r="J800" s="197"/>
      <c r="K800" s="197"/>
      <c r="L800" s="197"/>
      <c r="M800" s="197"/>
      <c r="N800" s="197"/>
      <c r="O800" s="197"/>
      <c r="P800" s="197"/>
      <c r="Q800" s="197"/>
      <c r="R800" s="197"/>
      <c r="S800" s="197"/>
      <c r="T800" s="197"/>
    </row>
    <row r="801" ht="15.75" customHeight="1">
      <c r="E801" s="197"/>
      <c r="F801" s="197"/>
      <c r="G801" s="197"/>
      <c r="H801" s="197"/>
      <c r="I801" s="197"/>
      <c r="J801" s="197"/>
      <c r="K801" s="197"/>
      <c r="L801" s="197"/>
      <c r="M801" s="197"/>
      <c r="N801" s="197"/>
      <c r="O801" s="197"/>
      <c r="P801" s="197"/>
      <c r="Q801" s="197"/>
      <c r="R801" s="197"/>
      <c r="S801" s="197"/>
      <c r="T801" s="197"/>
    </row>
    <row r="802" ht="15.75" customHeight="1">
      <c r="E802" s="197"/>
      <c r="F802" s="197"/>
      <c r="G802" s="197"/>
      <c r="H802" s="197"/>
      <c r="I802" s="197"/>
      <c r="J802" s="197"/>
      <c r="K802" s="197"/>
      <c r="L802" s="197"/>
      <c r="M802" s="197"/>
      <c r="N802" s="197"/>
      <c r="O802" s="197"/>
      <c r="P802" s="197"/>
      <c r="Q802" s="197"/>
      <c r="R802" s="197"/>
      <c r="S802" s="197"/>
      <c r="T802" s="197"/>
    </row>
    <row r="803" ht="15.75" customHeight="1">
      <c r="E803" s="197"/>
      <c r="F803" s="197"/>
      <c r="G803" s="197"/>
      <c r="H803" s="197"/>
      <c r="I803" s="197"/>
      <c r="J803" s="197"/>
      <c r="K803" s="197"/>
      <c r="L803" s="197"/>
      <c r="M803" s="197"/>
      <c r="N803" s="197"/>
      <c r="O803" s="197"/>
      <c r="P803" s="197"/>
      <c r="Q803" s="197"/>
      <c r="R803" s="197"/>
      <c r="S803" s="197"/>
      <c r="T803" s="197"/>
    </row>
    <row r="804" ht="15.75" customHeight="1">
      <c r="E804" s="197"/>
      <c r="F804" s="197"/>
      <c r="G804" s="197"/>
      <c r="H804" s="197"/>
      <c r="I804" s="197"/>
      <c r="J804" s="197"/>
      <c r="K804" s="197"/>
      <c r="L804" s="197"/>
      <c r="M804" s="197"/>
      <c r="N804" s="197"/>
      <c r="O804" s="197"/>
      <c r="P804" s="197"/>
      <c r="Q804" s="197"/>
      <c r="R804" s="197"/>
      <c r="S804" s="197"/>
      <c r="T804" s="197"/>
    </row>
    <row r="805" ht="15.75" customHeight="1">
      <c r="E805" s="197"/>
      <c r="F805" s="197"/>
      <c r="G805" s="197"/>
      <c r="H805" s="197"/>
      <c r="I805" s="197"/>
      <c r="J805" s="197"/>
      <c r="K805" s="197"/>
      <c r="L805" s="197"/>
      <c r="M805" s="197"/>
      <c r="N805" s="197"/>
      <c r="O805" s="197"/>
      <c r="P805" s="197"/>
      <c r="Q805" s="197"/>
      <c r="R805" s="197"/>
      <c r="S805" s="197"/>
      <c r="T805" s="197"/>
    </row>
    <row r="806" ht="15.75" customHeight="1">
      <c r="E806" s="197"/>
      <c r="F806" s="197"/>
      <c r="G806" s="197"/>
      <c r="H806" s="197"/>
      <c r="I806" s="197"/>
      <c r="J806" s="197"/>
      <c r="K806" s="197"/>
      <c r="L806" s="197"/>
      <c r="M806" s="197"/>
      <c r="N806" s="197"/>
      <c r="O806" s="197"/>
      <c r="P806" s="197"/>
      <c r="Q806" s="197"/>
      <c r="R806" s="197"/>
      <c r="S806" s="197"/>
      <c r="T806" s="197"/>
    </row>
    <row r="807" ht="15.75" customHeight="1">
      <c r="E807" s="197"/>
      <c r="F807" s="197"/>
      <c r="G807" s="197"/>
      <c r="H807" s="197"/>
      <c r="I807" s="197"/>
      <c r="J807" s="197"/>
      <c r="K807" s="197"/>
      <c r="L807" s="197"/>
      <c r="M807" s="197"/>
      <c r="N807" s="197"/>
      <c r="O807" s="197"/>
      <c r="P807" s="197"/>
      <c r="Q807" s="197"/>
      <c r="R807" s="197"/>
      <c r="S807" s="197"/>
      <c r="T807" s="197"/>
    </row>
    <row r="808" ht="15.75" customHeight="1">
      <c r="E808" s="197"/>
      <c r="F808" s="197"/>
      <c r="G808" s="197"/>
      <c r="H808" s="197"/>
      <c r="I808" s="197"/>
      <c r="J808" s="197"/>
      <c r="K808" s="197"/>
      <c r="L808" s="197"/>
      <c r="M808" s="197"/>
      <c r="N808" s="197"/>
      <c r="O808" s="197"/>
      <c r="P808" s="197"/>
      <c r="Q808" s="197"/>
      <c r="R808" s="197"/>
      <c r="S808" s="197"/>
      <c r="T808" s="197"/>
    </row>
    <row r="809" ht="15.75" customHeight="1">
      <c r="E809" s="197"/>
      <c r="F809" s="197"/>
      <c r="G809" s="197"/>
      <c r="H809" s="197"/>
      <c r="I809" s="197"/>
      <c r="J809" s="197"/>
      <c r="K809" s="197"/>
      <c r="L809" s="197"/>
      <c r="M809" s="197"/>
      <c r="N809" s="197"/>
      <c r="O809" s="197"/>
      <c r="P809" s="197"/>
      <c r="Q809" s="197"/>
      <c r="R809" s="197"/>
      <c r="S809" s="197"/>
      <c r="T809" s="197"/>
    </row>
    <row r="810" ht="15.75" customHeight="1">
      <c r="E810" s="197"/>
      <c r="F810" s="197"/>
      <c r="G810" s="197"/>
      <c r="H810" s="197"/>
      <c r="I810" s="197"/>
      <c r="J810" s="197"/>
      <c r="K810" s="197"/>
      <c r="L810" s="197"/>
      <c r="M810" s="197"/>
      <c r="N810" s="197"/>
      <c r="O810" s="197"/>
      <c r="P810" s="197"/>
      <c r="Q810" s="197"/>
      <c r="R810" s="197"/>
      <c r="S810" s="197"/>
      <c r="T810" s="197"/>
    </row>
    <row r="811" ht="15.75" customHeight="1">
      <c r="E811" s="197"/>
      <c r="F811" s="197"/>
      <c r="G811" s="197"/>
      <c r="H811" s="197"/>
      <c r="I811" s="197"/>
      <c r="J811" s="197"/>
      <c r="K811" s="197"/>
      <c r="L811" s="197"/>
      <c r="M811" s="197"/>
      <c r="N811" s="197"/>
      <c r="O811" s="197"/>
      <c r="P811" s="197"/>
      <c r="Q811" s="197"/>
      <c r="R811" s="197"/>
      <c r="S811" s="197"/>
      <c r="T811" s="197"/>
    </row>
    <row r="812" ht="15.75" customHeight="1">
      <c r="E812" s="197"/>
      <c r="F812" s="197"/>
      <c r="G812" s="197"/>
      <c r="H812" s="197"/>
      <c r="I812" s="197"/>
      <c r="J812" s="197"/>
      <c r="K812" s="197"/>
      <c r="L812" s="197"/>
      <c r="M812" s="197"/>
      <c r="N812" s="197"/>
      <c r="O812" s="197"/>
      <c r="P812" s="197"/>
      <c r="Q812" s="197"/>
      <c r="R812" s="197"/>
      <c r="S812" s="197"/>
      <c r="T812" s="197"/>
    </row>
    <row r="813" ht="15.75" customHeight="1">
      <c r="E813" s="197"/>
      <c r="F813" s="197"/>
      <c r="G813" s="197"/>
      <c r="H813" s="197"/>
      <c r="I813" s="197"/>
      <c r="J813" s="197"/>
      <c r="K813" s="197"/>
      <c r="L813" s="197"/>
      <c r="M813" s="197"/>
      <c r="N813" s="197"/>
      <c r="O813" s="197"/>
      <c r="P813" s="197"/>
      <c r="Q813" s="197"/>
      <c r="R813" s="197"/>
      <c r="S813" s="197"/>
      <c r="T813" s="197"/>
    </row>
    <row r="814" ht="15.75" customHeight="1">
      <c r="E814" s="197"/>
      <c r="F814" s="197"/>
      <c r="G814" s="197"/>
      <c r="H814" s="197"/>
      <c r="I814" s="197"/>
      <c r="J814" s="197"/>
      <c r="K814" s="197"/>
      <c r="L814" s="197"/>
      <c r="M814" s="197"/>
      <c r="N814" s="197"/>
      <c r="O814" s="197"/>
      <c r="P814" s="197"/>
      <c r="Q814" s="197"/>
      <c r="R814" s="197"/>
      <c r="S814" s="197"/>
      <c r="T814" s="197"/>
    </row>
    <row r="815" ht="15.75" customHeight="1">
      <c r="E815" s="197"/>
      <c r="F815" s="197"/>
      <c r="G815" s="197"/>
      <c r="H815" s="197"/>
      <c r="I815" s="197"/>
      <c r="J815" s="197"/>
      <c r="K815" s="197"/>
      <c r="L815" s="197"/>
      <c r="M815" s="197"/>
      <c r="N815" s="197"/>
      <c r="O815" s="197"/>
      <c r="P815" s="197"/>
      <c r="Q815" s="197"/>
      <c r="R815" s="197"/>
      <c r="S815" s="197"/>
      <c r="T815" s="197"/>
    </row>
    <row r="816" ht="15.75" customHeight="1">
      <c r="E816" s="197"/>
      <c r="F816" s="197"/>
      <c r="G816" s="197"/>
      <c r="H816" s="197"/>
      <c r="I816" s="197"/>
      <c r="J816" s="197"/>
      <c r="K816" s="197"/>
      <c r="L816" s="197"/>
      <c r="M816" s="197"/>
      <c r="N816" s="197"/>
      <c r="O816" s="197"/>
      <c r="P816" s="197"/>
      <c r="Q816" s="197"/>
      <c r="R816" s="197"/>
      <c r="S816" s="197"/>
      <c r="T816" s="197"/>
    </row>
    <row r="817" ht="15.75" customHeight="1">
      <c r="E817" s="197"/>
      <c r="F817" s="197"/>
      <c r="G817" s="197"/>
      <c r="H817" s="197"/>
      <c r="I817" s="197"/>
      <c r="J817" s="197"/>
      <c r="K817" s="197"/>
      <c r="L817" s="197"/>
      <c r="M817" s="197"/>
      <c r="N817" s="197"/>
      <c r="O817" s="197"/>
      <c r="P817" s="197"/>
      <c r="Q817" s="197"/>
      <c r="R817" s="197"/>
      <c r="S817" s="197"/>
      <c r="T817" s="197"/>
    </row>
    <row r="818" ht="15.75" customHeight="1">
      <c r="E818" s="197"/>
      <c r="F818" s="197"/>
      <c r="G818" s="197"/>
      <c r="H818" s="197"/>
      <c r="I818" s="197"/>
      <c r="J818" s="197"/>
      <c r="K818" s="197"/>
      <c r="L818" s="197"/>
      <c r="M818" s="197"/>
      <c r="N818" s="197"/>
      <c r="O818" s="197"/>
      <c r="P818" s="197"/>
      <c r="Q818" s="197"/>
      <c r="R818" s="197"/>
      <c r="S818" s="197"/>
      <c r="T818" s="197"/>
    </row>
    <row r="819" ht="15.75" customHeight="1">
      <c r="E819" s="197"/>
      <c r="F819" s="197"/>
      <c r="G819" s="197"/>
      <c r="H819" s="197"/>
      <c r="I819" s="197"/>
      <c r="J819" s="197"/>
      <c r="K819" s="197"/>
      <c r="L819" s="197"/>
      <c r="M819" s="197"/>
      <c r="N819" s="197"/>
      <c r="O819" s="197"/>
      <c r="P819" s="197"/>
      <c r="Q819" s="197"/>
      <c r="R819" s="197"/>
      <c r="S819" s="197"/>
      <c r="T819" s="197"/>
    </row>
    <row r="820" ht="15.75" customHeight="1">
      <c r="E820" s="197"/>
      <c r="F820" s="197"/>
      <c r="G820" s="197"/>
      <c r="H820" s="197"/>
      <c r="I820" s="197"/>
      <c r="J820" s="197"/>
      <c r="K820" s="197"/>
      <c r="L820" s="197"/>
      <c r="M820" s="197"/>
      <c r="N820" s="197"/>
      <c r="O820" s="197"/>
      <c r="P820" s="197"/>
      <c r="Q820" s="197"/>
      <c r="R820" s="197"/>
      <c r="S820" s="197"/>
      <c r="T820" s="197"/>
    </row>
    <row r="821" ht="15.75" customHeight="1">
      <c r="E821" s="197"/>
      <c r="F821" s="197"/>
      <c r="G821" s="197"/>
      <c r="H821" s="197"/>
      <c r="I821" s="197"/>
      <c r="J821" s="197"/>
      <c r="K821" s="197"/>
      <c r="L821" s="197"/>
      <c r="M821" s="197"/>
      <c r="N821" s="197"/>
      <c r="O821" s="197"/>
      <c r="P821" s="197"/>
      <c r="Q821" s="197"/>
      <c r="R821" s="197"/>
      <c r="S821" s="197"/>
      <c r="T821" s="197"/>
    </row>
    <row r="822" ht="15.75" customHeight="1">
      <c r="E822" s="197"/>
      <c r="F822" s="197"/>
      <c r="G822" s="197"/>
      <c r="H822" s="197"/>
      <c r="I822" s="197"/>
      <c r="J822" s="197"/>
      <c r="K822" s="197"/>
      <c r="L822" s="197"/>
      <c r="M822" s="197"/>
      <c r="N822" s="197"/>
      <c r="O822" s="197"/>
      <c r="P822" s="197"/>
      <c r="Q822" s="197"/>
      <c r="R822" s="197"/>
      <c r="S822" s="197"/>
      <c r="T822" s="197"/>
    </row>
    <row r="823" ht="15.75" customHeight="1">
      <c r="E823" s="197"/>
      <c r="F823" s="197"/>
      <c r="G823" s="197"/>
      <c r="H823" s="197"/>
      <c r="I823" s="197"/>
      <c r="J823" s="197"/>
      <c r="K823" s="197"/>
      <c r="L823" s="197"/>
      <c r="M823" s="197"/>
      <c r="N823" s="197"/>
      <c r="O823" s="197"/>
      <c r="P823" s="197"/>
      <c r="Q823" s="197"/>
      <c r="R823" s="197"/>
      <c r="S823" s="197"/>
      <c r="T823" s="197"/>
    </row>
    <row r="824" ht="15.75" customHeight="1">
      <c r="E824" s="197"/>
      <c r="F824" s="197"/>
      <c r="G824" s="197"/>
      <c r="H824" s="197"/>
      <c r="I824" s="197"/>
      <c r="J824" s="197"/>
      <c r="K824" s="197"/>
      <c r="L824" s="197"/>
      <c r="M824" s="197"/>
      <c r="N824" s="197"/>
      <c r="O824" s="197"/>
      <c r="P824" s="197"/>
      <c r="Q824" s="197"/>
      <c r="R824" s="197"/>
      <c r="S824" s="197"/>
      <c r="T824" s="197"/>
    </row>
    <row r="825" ht="15.75" customHeight="1">
      <c r="E825" s="197"/>
      <c r="F825" s="197"/>
      <c r="G825" s="197"/>
      <c r="H825" s="197"/>
      <c r="I825" s="197"/>
      <c r="J825" s="197"/>
      <c r="K825" s="197"/>
      <c r="L825" s="197"/>
      <c r="M825" s="197"/>
      <c r="N825" s="197"/>
      <c r="O825" s="197"/>
      <c r="P825" s="197"/>
      <c r="Q825" s="197"/>
      <c r="R825" s="197"/>
      <c r="S825" s="197"/>
      <c r="T825" s="197"/>
    </row>
    <row r="826" ht="15.75" customHeight="1">
      <c r="E826" s="197"/>
      <c r="F826" s="197"/>
      <c r="G826" s="197"/>
      <c r="H826" s="197"/>
      <c r="I826" s="197"/>
      <c r="J826" s="197"/>
      <c r="K826" s="197"/>
      <c r="L826" s="197"/>
      <c r="M826" s="197"/>
      <c r="N826" s="197"/>
      <c r="O826" s="197"/>
      <c r="P826" s="197"/>
      <c r="Q826" s="197"/>
      <c r="R826" s="197"/>
      <c r="S826" s="197"/>
      <c r="T826" s="197"/>
    </row>
    <row r="827" ht="15.75" customHeight="1">
      <c r="E827" s="197"/>
      <c r="F827" s="197"/>
      <c r="G827" s="197"/>
      <c r="H827" s="197"/>
      <c r="I827" s="197"/>
      <c r="J827" s="197"/>
      <c r="K827" s="197"/>
      <c r="L827" s="197"/>
      <c r="M827" s="197"/>
      <c r="N827" s="197"/>
      <c r="O827" s="197"/>
      <c r="P827" s="197"/>
      <c r="Q827" s="197"/>
      <c r="R827" s="197"/>
      <c r="S827" s="197"/>
      <c r="T827" s="197"/>
    </row>
    <row r="828" ht="15.75" customHeight="1">
      <c r="E828" s="197"/>
      <c r="F828" s="197"/>
      <c r="G828" s="197"/>
      <c r="H828" s="197"/>
      <c r="I828" s="197"/>
      <c r="J828" s="197"/>
      <c r="K828" s="197"/>
      <c r="L828" s="197"/>
      <c r="M828" s="197"/>
      <c r="N828" s="197"/>
      <c r="O828" s="197"/>
      <c r="P828" s="197"/>
      <c r="Q828" s="197"/>
      <c r="R828" s="197"/>
      <c r="S828" s="197"/>
      <c r="T828" s="197"/>
    </row>
    <row r="829" ht="15.75" customHeight="1">
      <c r="E829" s="197"/>
      <c r="F829" s="197"/>
      <c r="G829" s="197"/>
      <c r="H829" s="197"/>
      <c r="I829" s="197"/>
      <c r="J829" s="197"/>
      <c r="K829" s="197"/>
      <c r="L829" s="197"/>
      <c r="M829" s="197"/>
      <c r="N829" s="197"/>
      <c r="O829" s="197"/>
      <c r="P829" s="197"/>
      <c r="Q829" s="197"/>
      <c r="R829" s="197"/>
      <c r="S829" s="197"/>
      <c r="T829" s="197"/>
    </row>
    <row r="830" ht="15.75" customHeight="1">
      <c r="E830" s="197"/>
      <c r="F830" s="197"/>
      <c r="G830" s="197"/>
      <c r="H830" s="197"/>
      <c r="I830" s="197"/>
      <c r="J830" s="197"/>
      <c r="K830" s="197"/>
      <c r="L830" s="197"/>
      <c r="M830" s="197"/>
      <c r="N830" s="197"/>
      <c r="O830" s="197"/>
      <c r="P830" s="197"/>
      <c r="Q830" s="197"/>
      <c r="R830" s="197"/>
      <c r="S830" s="197"/>
      <c r="T830" s="197"/>
    </row>
    <row r="831" ht="15.75" customHeight="1">
      <c r="E831" s="197"/>
      <c r="F831" s="197"/>
      <c r="G831" s="197"/>
      <c r="H831" s="197"/>
      <c r="I831" s="197"/>
      <c r="J831" s="197"/>
      <c r="K831" s="197"/>
      <c r="L831" s="197"/>
      <c r="M831" s="197"/>
      <c r="N831" s="197"/>
      <c r="O831" s="197"/>
      <c r="P831" s="197"/>
      <c r="Q831" s="197"/>
      <c r="R831" s="197"/>
      <c r="S831" s="197"/>
      <c r="T831" s="197"/>
    </row>
    <row r="832" ht="15.75" customHeight="1">
      <c r="E832" s="197"/>
      <c r="F832" s="197"/>
      <c r="G832" s="197"/>
      <c r="H832" s="197"/>
      <c r="I832" s="197"/>
      <c r="J832" s="197"/>
      <c r="K832" s="197"/>
      <c r="L832" s="197"/>
      <c r="M832" s="197"/>
      <c r="N832" s="197"/>
      <c r="O832" s="197"/>
      <c r="P832" s="197"/>
      <c r="Q832" s="197"/>
      <c r="R832" s="197"/>
      <c r="S832" s="197"/>
      <c r="T832" s="197"/>
    </row>
    <row r="833" ht="15.75" customHeight="1">
      <c r="E833" s="197"/>
      <c r="F833" s="197"/>
      <c r="G833" s="197"/>
      <c r="H833" s="197"/>
      <c r="I833" s="197"/>
      <c r="J833" s="197"/>
      <c r="K833" s="197"/>
      <c r="L833" s="197"/>
      <c r="M833" s="197"/>
      <c r="N833" s="197"/>
      <c r="O833" s="197"/>
      <c r="P833" s="197"/>
      <c r="Q833" s="197"/>
      <c r="R833" s="197"/>
      <c r="S833" s="197"/>
      <c r="T833" s="197"/>
    </row>
    <row r="834" ht="15.75" customHeight="1">
      <c r="E834" s="197"/>
      <c r="F834" s="197"/>
      <c r="G834" s="197"/>
      <c r="H834" s="197"/>
      <c r="I834" s="197"/>
      <c r="J834" s="197"/>
      <c r="K834" s="197"/>
      <c r="L834" s="197"/>
      <c r="M834" s="197"/>
      <c r="N834" s="197"/>
      <c r="O834" s="197"/>
      <c r="P834" s="197"/>
      <c r="Q834" s="197"/>
      <c r="R834" s="197"/>
      <c r="S834" s="197"/>
      <c r="T834" s="197"/>
    </row>
    <row r="835" ht="15.75" customHeight="1">
      <c r="E835" s="197"/>
      <c r="F835" s="197"/>
      <c r="G835" s="197"/>
      <c r="H835" s="197"/>
      <c r="I835" s="197"/>
      <c r="J835" s="197"/>
      <c r="K835" s="197"/>
      <c r="L835" s="197"/>
      <c r="M835" s="197"/>
      <c r="N835" s="197"/>
      <c r="O835" s="197"/>
      <c r="P835" s="197"/>
      <c r="Q835" s="197"/>
      <c r="R835" s="197"/>
      <c r="S835" s="197"/>
      <c r="T835" s="197"/>
    </row>
    <row r="836" ht="15.75" customHeight="1">
      <c r="E836" s="197"/>
      <c r="F836" s="197"/>
      <c r="G836" s="197"/>
      <c r="H836" s="197"/>
      <c r="I836" s="197"/>
      <c r="J836" s="197"/>
      <c r="K836" s="197"/>
      <c r="L836" s="197"/>
      <c r="M836" s="197"/>
      <c r="N836" s="197"/>
      <c r="O836" s="197"/>
      <c r="P836" s="197"/>
      <c r="Q836" s="197"/>
      <c r="R836" s="197"/>
      <c r="S836" s="197"/>
      <c r="T836" s="197"/>
    </row>
    <row r="837" ht="15.75" customHeight="1">
      <c r="E837" s="197"/>
      <c r="F837" s="197"/>
      <c r="G837" s="197"/>
      <c r="H837" s="197"/>
      <c r="I837" s="197"/>
      <c r="J837" s="197"/>
      <c r="K837" s="197"/>
      <c r="L837" s="197"/>
      <c r="M837" s="197"/>
      <c r="N837" s="197"/>
      <c r="O837" s="197"/>
      <c r="P837" s="197"/>
      <c r="Q837" s="197"/>
      <c r="R837" s="197"/>
      <c r="S837" s="197"/>
      <c r="T837" s="197"/>
    </row>
    <row r="838" ht="15.75" customHeight="1">
      <c r="E838" s="197"/>
      <c r="F838" s="197"/>
      <c r="G838" s="197"/>
      <c r="H838" s="197"/>
      <c r="I838" s="197"/>
      <c r="J838" s="197"/>
      <c r="K838" s="197"/>
      <c r="L838" s="197"/>
      <c r="M838" s="197"/>
      <c r="N838" s="197"/>
      <c r="O838" s="197"/>
      <c r="P838" s="197"/>
      <c r="Q838" s="197"/>
      <c r="R838" s="197"/>
      <c r="S838" s="197"/>
      <c r="T838" s="197"/>
    </row>
    <row r="839" ht="15.75" customHeight="1">
      <c r="E839" s="197"/>
      <c r="F839" s="197"/>
      <c r="G839" s="197"/>
      <c r="H839" s="197"/>
      <c r="I839" s="197"/>
      <c r="J839" s="197"/>
      <c r="K839" s="197"/>
      <c r="L839" s="197"/>
      <c r="M839" s="197"/>
      <c r="N839" s="197"/>
      <c r="O839" s="197"/>
      <c r="P839" s="197"/>
      <c r="Q839" s="197"/>
      <c r="R839" s="197"/>
      <c r="S839" s="197"/>
      <c r="T839" s="197"/>
    </row>
    <row r="840" ht="15.75" customHeight="1">
      <c r="E840" s="197"/>
      <c r="F840" s="197"/>
      <c r="G840" s="197"/>
      <c r="H840" s="197"/>
      <c r="I840" s="197"/>
      <c r="J840" s="197"/>
      <c r="K840" s="197"/>
      <c r="L840" s="197"/>
      <c r="M840" s="197"/>
      <c r="N840" s="197"/>
      <c r="O840" s="197"/>
      <c r="P840" s="197"/>
      <c r="Q840" s="197"/>
      <c r="R840" s="197"/>
      <c r="S840" s="197"/>
      <c r="T840" s="197"/>
    </row>
    <row r="841" ht="15.75" customHeight="1">
      <c r="E841" s="197"/>
      <c r="F841" s="197"/>
      <c r="G841" s="197"/>
      <c r="H841" s="197"/>
      <c r="I841" s="197"/>
      <c r="J841" s="197"/>
      <c r="K841" s="197"/>
      <c r="L841" s="197"/>
      <c r="M841" s="197"/>
      <c r="N841" s="197"/>
      <c r="O841" s="197"/>
      <c r="P841" s="197"/>
      <c r="Q841" s="197"/>
      <c r="R841" s="197"/>
      <c r="S841" s="197"/>
      <c r="T841" s="197"/>
    </row>
    <row r="842" ht="15.75" customHeight="1">
      <c r="E842" s="197"/>
      <c r="F842" s="197"/>
      <c r="G842" s="197"/>
      <c r="H842" s="197"/>
      <c r="I842" s="197"/>
      <c r="J842" s="197"/>
      <c r="K842" s="197"/>
      <c r="L842" s="197"/>
      <c r="M842" s="197"/>
      <c r="N842" s="197"/>
      <c r="O842" s="197"/>
      <c r="P842" s="197"/>
      <c r="Q842" s="197"/>
      <c r="R842" s="197"/>
      <c r="S842" s="197"/>
      <c r="T842" s="197"/>
    </row>
    <row r="843" ht="15.75" customHeight="1">
      <c r="E843" s="197"/>
      <c r="F843" s="197"/>
      <c r="G843" s="197"/>
      <c r="H843" s="197"/>
      <c r="I843" s="197"/>
      <c r="J843" s="197"/>
      <c r="K843" s="197"/>
      <c r="L843" s="197"/>
      <c r="M843" s="197"/>
      <c r="N843" s="197"/>
      <c r="O843" s="197"/>
      <c r="P843" s="197"/>
      <c r="Q843" s="197"/>
      <c r="R843" s="197"/>
      <c r="S843" s="197"/>
      <c r="T843" s="197"/>
    </row>
    <row r="844" ht="15.75" customHeight="1">
      <c r="E844" s="197"/>
      <c r="F844" s="197"/>
      <c r="G844" s="197"/>
      <c r="H844" s="197"/>
      <c r="I844" s="197"/>
      <c r="J844" s="197"/>
      <c r="K844" s="197"/>
      <c r="L844" s="197"/>
      <c r="M844" s="197"/>
      <c r="N844" s="197"/>
      <c r="O844" s="197"/>
      <c r="P844" s="197"/>
      <c r="Q844" s="197"/>
      <c r="R844" s="197"/>
      <c r="S844" s="197"/>
      <c r="T844" s="197"/>
    </row>
    <row r="845" ht="15.75" customHeight="1">
      <c r="E845" s="197"/>
      <c r="F845" s="197"/>
      <c r="G845" s="197"/>
      <c r="H845" s="197"/>
      <c r="I845" s="197"/>
      <c r="J845" s="197"/>
      <c r="K845" s="197"/>
      <c r="L845" s="197"/>
      <c r="M845" s="197"/>
      <c r="N845" s="197"/>
      <c r="O845" s="197"/>
      <c r="P845" s="197"/>
      <c r="Q845" s="197"/>
      <c r="R845" s="197"/>
      <c r="S845" s="197"/>
      <c r="T845" s="197"/>
    </row>
    <row r="846" ht="15.75" customHeight="1">
      <c r="E846" s="197"/>
      <c r="F846" s="197"/>
      <c r="G846" s="197"/>
      <c r="H846" s="197"/>
      <c r="I846" s="197"/>
      <c r="J846" s="197"/>
      <c r="K846" s="197"/>
      <c r="L846" s="197"/>
      <c r="M846" s="197"/>
      <c r="N846" s="197"/>
      <c r="O846" s="197"/>
      <c r="P846" s="197"/>
      <c r="Q846" s="197"/>
      <c r="R846" s="197"/>
      <c r="S846" s="197"/>
      <c r="T846" s="197"/>
    </row>
    <row r="847" ht="15.75" customHeight="1">
      <c r="E847" s="197"/>
      <c r="F847" s="197"/>
      <c r="G847" s="197"/>
      <c r="H847" s="197"/>
      <c r="I847" s="197"/>
      <c r="J847" s="197"/>
      <c r="K847" s="197"/>
      <c r="L847" s="197"/>
      <c r="M847" s="197"/>
      <c r="N847" s="197"/>
      <c r="O847" s="197"/>
      <c r="P847" s="197"/>
      <c r="Q847" s="197"/>
      <c r="R847" s="197"/>
      <c r="S847" s="197"/>
      <c r="T847" s="197"/>
    </row>
    <row r="848" ht="15.75" customHeight="1">
      <c r="E848" s="197"/>
      <c r="F848" s="197"/>
      <c r="G848" s="197"/>
      <c r="H848" s="197"/>
      <c r="I848" s="197"/>
      <c r="J848" s="197"/>
      <c r="K848" s="197"/>
      <c r="L848" s="197"/>
      <c r="M848" s="197"/>
      <c r="N848" s="197"/>
      <c r="O848" s="197"/>
      <c r="P848" s="197"/>
      <c r="Q848" s="197"/>
      <c r="R848" s="197"/>
      <c r="S848" s="197"/>
      <c r="T848" s="197"/>
    </row>
    <row r="849" ht="15.75" customHeight="1">
      <c r="E849" s="197"/>
      <c r="F849" s="197"/>
      <c r="G849" s="197"/>
      <c r="H849" s="197"/>
      <c r="I849" s="197"/>
      <c r="J849" s="197"/>
      <c r="K849" s="197"/>
      <c r="L849" s="197"/>
      <c r="M849" s="197"/>
      <c r="N849" s="197"/>
      <c r="O849" s="197"/>
      <c r="P849" s="197"/>
      <c r="Q849" s="197"/>
      <c r="R849" s="197"/>
      <c r="S849" s="197"/>
      <c r="T849" s="197"/>
    </row>
    <row r="850" ht="15.75" customHeight="1">
      <c r="E850" s="197"/>
      <c r="F850" s="197"/>
      <c r="G850" s="197"/>
      <c r="H850" s="197"/>
      <c r="I850" s="197"/>
      <c r="J850" s="197"/>
      <c r="K850" s="197"/>
      <c r="L850" s="197"/>
      <c r="M850" s="197"/>
      <c r="N850" s="197"/>
      <c r="O850" s="197"/>
      <c r="P850" s="197"/>
      <c r="Q850" s="197"/>
      <c r="R850" s="197"/>
      <c r="S850" s="197"/>
      <c r="T850" s="197"/>
    </row>
    <row r="851" ht="15.75" customHeight="1">
      <c r="E851" s="197"/>
      <c r="F851" s="197"/>
      <c r="G851" s="197"/>
      <c r="H851" s="197"/>
      <c r="I851" s="197"/>
      <c r="J851" s="197"/>
      <c r="K851" s="197"/>
      <c r="L851" s="197"/>
      <c r="M851" s="197"/>
      <c r="N851" s="197"/>
      <c r="O851" s="197"/>
      <c r="P851" s="197"/>
      <c r="Q851" s="197"/>
      <c r="R851" s="197"/>
      <c r="S851" s="197"/>
      <c r="T851" s="197"/>
    </row>
    <row r="852" ht="15.75" customHeight="1">
      <c r="E852" s="197"/>
      <c r="F852" s="197"/>
      <c r="G852" s="197"/>
      <c r="H852" s="197"/>
      <c r="I852" s="197"/>
      <c r="J852" s="197"/>
      <c r="K852" s="197"/>
      <c r="L852" s="197"/>
      <c r="M852" s="197"/>
      <c r="N852" s="197"/>
      <c r="O852" s="197"/>
      <c r="P852" s="197"/>
      <c r="Q852" s="197"/>
      <c r="R852" s="197"/>
      <c r="S852" s="197"/>
      <c r="T852" s="197"/>
    </row>
    <row r="853" ht="15.75" customHeight="1">
      <c r="E853" s="197"/>
      <c r="F853" s="197"/>
      <c r="G853" s="197"/>
      <c r="H853" s="197"/>
      <c r="I853" s="197"/>
      <c r="J853" s="197"/>
      <c r="K853" s="197"/>
      <c r="L853" s="197"/>
      <c r="M853" s="197"/>
      <c r="N853" s="197"/>
      <c r="O853" s="197"/>
      <c r="P853" s="197"/>
      <c r="Q853" s="197"/>
      <c r="R853" s="197"/>
      <c r="S853" s="197"/>
      <c r="T853" s="197"/>
    </row>
    <row r="854" ht="15.75" customHeight="1">
      <c r="E854" s="197"/>
      <c r="F854" s="197"/>
      <c r="G854" s="197"/>
      <c r="H854" s="197"/>
      <c r="I854" s="197"/>
      <c r="J854" s="197"/>
      <c r="K854" s="197"/>
      <c r="L854" s="197"/>
      <c r="M854" s="197"/>
      <c r="N854" s="197"/>
      <c r="O854" s="197"/>
      <c r="P854" s="197"/>
      <c r="Q854" s="197"/>
      <c r="R854" s="197"/>
      <c r="S854" s="197"/>
      <c r="T854" s="197"/>
    </row>
    <row r="855" ht="15.75" customHeight="1">
      <c r="E855" s="197"/>
      <c r="F855" s="197"/>
      <c r="G855" s="197"/>
      <c r="H855" s="197"/>
      <c r="I855" s="197"/>
      <c r="J855" s="197"/>
      <c r="K855" s="197"/>
      <c r="L855" s="197"/>
      <c r="M855" s="197"/>
      <c r="N855" s="197"/>
      <c r="O855" s="197"/>
      <c r="P855" s="197"/>
      <c r="Q855" s="197"/>
      <c r="R855" s="197"/>
      <c r="S855" s="197"/>
      <c r="T855" s="197"/>
    </row>
    <row r="856" ht="15.75" customHeight="1">
      <c r="E856" s="197"/>
      <c r="F856" s="197"/>
      <c r="G856" s="197"/>
      <c r="H856" s="197"/>
      <c r="I856" s="197"/>
      <c r="J856" s="197"/>
      <c r="K856" s="197"/>
      <c r="L856" s="197"/>
      <c r="M856" s="197"/>
      <c r="N856" s="197"/>
      <c r="O856" s="197"/>
      <c r="P856" s="197"/>
      <c r="Q856" s="197"/>
      <c r="R856" s="197"/>
      <c r="S856" s="197"/>
      <c r="T856" s="197"/>
    </row>
    <row r="857" ht="15.75" customHeight="1">
      <c r="E857" s="197"/>
      <c r="F857" s="197"/>
      <c r="G857" s="197"/>
      <c r="H857" s="197"/>
      <c r="I857" s="197"/>
      <c r="J857" s="197"/>
      <c r="K857" s="197"/>
      <c r="L857" s="197"/>
      <c r="M857" s="197"/>
      <c r="N857" s="197"/>
      <c r="O857" s="197"/>
      <c r="P857" s="197"/>
      <c r="Q857" s="197"/>
      <c r="R857" s="197"/>
      <c r="S857" s="197"/>
      <c r="T857" s="197"/>
    </row>
    <row r="858" ht="15.75" customHeight="1">
      <c r="E858" s="197"/>
      <c r="F858" s="197"/>
      <c r="G858" s="197"/>
      <c r="H858" s="197"/>
      <c r="I858" s="197"/>
      <c r="J858" s="197"/>
      <c r="K858" s="197"/>
      <c r="L858" s="197"/>
      <c r="M858" s="197"/>
      <c r="N858" s="197"/>
      <c r="O858" s="197"/>
      <c r="P858" s="197"/>
      <c r="Q858" s="197"/>
      <c r="R858" s="197"/>
      <c r="S858" s="197"/>
      <c r="T858" s="197"/>
    </row>
    <row r="859" ht="15.75" customHeight="1">
      <c r="E859" s="197"/>
      <c r="F859" s="197"/>
      <c r="G859" s="197"/>
      <c r="H859" s="197"/>
      <c r="I859" s="197"/>
      <c r="J859" s="197"/>
      <c r="K859" s="197"/>
      <c r="L859" s="197"/>
      <c r="M859" s="197"/>
      <c r="N859" s="197"/>
      <c r="O859" s="197"/>
      <c r="P859" s="197"/>
      <c r="Q859" s="197"/>
      <c r="R859" s="197"/>
      <c r="S859" s="197"/>
      <c r="T859" s="197"/>
    </row>
    <row r="860" ht="15.75" customHeight="1">
      <c r="E860" s="197"/>
      <c r="F860" s="197"/>
      <c r="G860" s="197"/>
      <c r="H860" s="197"/>
      <c r="I860" s="197"/>
      <c r="J860" s="197"/>
      <c r="K860" s="197"/>
      <c r="L860" s="197"/>
      <c r="M860" s="197"/>
      <c r="N860" s="197"/>
      <c r="O860" s="197"/>
      <c r="P860" s="197"/>
      <c r="Q860" s="197"/>
      <c r="R860" s="197"/>
      <c r="S860" s="197"/>
      <c r="T860" s="197"/>
    </row>
    <row r="861" ht="15.75" customHeight="1">
      <c r="E861" s="197"/>
      <c r="F861" s="197"/>
      <c r="G861" s="197"/>
      <c r="H861" s="197"/>
      <c r="I861" s="197"/>
      <c r="J861" s="197"/>
      <c r="K861" s="197"/>
      <c r="L861" s="197"/>
      <c r="M861" s="197"/>
      <c r="N861" s="197"/>
      <c r="O861" s="197"/>
      <c r="P861" s="197"/>
      <c r="Q861" s="197"/>
      <c r="R861" s="197"/>
      <c r="S861" s="197"/>
      <c r="T861" s="197"/>
    </row>
    <row r="862" ht="15.75" customHeight="1">
      <c r="E862" s="197"/>
      <c r="F862" s="197"/>
      <c r="G862" s="197"/>
      <c r="H862" s="197"/>
      <c r="I862" s="197"/>
      <c r="J862" s="197"/>
      <c r="K862" s="197"/>
      <c r="L862" s="197"/>
      <c r="M862" s="197"/>
      <c r="N862" s="197"/>
      <c r="O862" s="197"/>
      <c r="P862" s="197"/>
      <c r="Q862" s="197"/>
      <c r="R862" s="197"/>
      <c r="S862" s="197"/>
      <c r="T862" s="197"/>
    </row>
    <row r="863" ht="15.75" customHeight="1">
      <c r="E863" s="197"/>
      <c r="F863" s="197"/>
      <c r="G863" s="197"/>
      <c r="H863" s="197"/>
      <c r="I863" s="197"/>
      <c r="J863" s="197"/>
      <c r="K863" s="197"/>
      <c r="L863" s="197"/>
      <c r="M863" s="197"/>
      <c r="N863" s="197"/>
      <c r="O863" s="197"/>
      <c r="P863" s="197"/>
      <c r="Q863" s="197"/>
      <c r="R863" s="197"/>
      <c r="S863" s="197"/>
      <c r="T863" s="197"/>
    </row>
    <row r="864" ht="15.75" customHeight="1">
      <c r="E864" s="197"/>
      <c r="F864" s="197"/>
      <c r="G864" s="197"/>
      <c r="H864" s="197"/>
      <c r="I864" s="197"/>
      <c r="J864" s="197"/>
      <c r="K864" s="197"/>
      <c r="L864" s="197"/>
      <c r="M864" s="197"/>
      <c r="N864" s="197"/>
      <c r="O864" s="197"/>
      <c r="P864" s="197"/>
      <c r="Q864" s="197"/>
      <c r="R864" s="197"/>
      <c r="S864" s="197"/>
      <c r="T864" s="197"/>
    </row>
    <row r="865" ht="15.75" customHeight="1">
      <c r="E865" s="197"/>
      <c r="F865" s="197"/>
      <c r="G865" s="197"/>
      <c r="H865" s="197"/>
      <c r="I865" s="197"/>
      <c r="J865" s="197"/>
      <c r="K865" s="197"/>
      <c r="L865" s="197"/>
      <c r="M865" s="197"/>
      <c r="N865" s="197"/>
      <c r="O865" s="197"/>
      <c r="P865" s="197"/>
      <c r="Q865" s="197"/>
      <c r="R865" s="197"/>
      <c r="S865" s="197"/>
      <c r="T865" s="197"/>
    </row>
    <row r="866" ht="15.75" customHeight="1">
      <c r="E866" s="197"/>
      <c r="F866" s="197"/>
      <c r="G866" s="197"/>
      <c r="H866" s="197"/>
      <c r="I866" s="197"/>
      <c r="J866" s="197"/>
      <c r="K866" s="197"/>
      <c r="L866" s="197"/>
      <c r="M866" s="197"/>
      <c r="N866" s="197"/>
      <c r="O866" s="197"/>
      <c r="P866" s="197"/>
      <c r="Q866" s="197"/>
      <c r="R866" s="197"/>
      <c r="S866" s="197"/>
      <c r="T866" s="197"/>
    </row>
    <row r="867" ht="15.75" customHeight="1">
      <c r="E867" s="197"/>
      <c r="F867" s="197"/>
      <c r="G867" s="197"/>
      <c r="H867" s="197"/>
      <c r="I867" s="197"/>
      <c r="J867" s="197"/>
      <c r="K867" s="197"/>
      <c r="L867" s="197"/>
      <c r="M867" s="197"/>
      <c r="N867" s="197"/>
      <c r="O867" s="197"/>
      <c r="P867" s="197"/>
      <c r="Q867" s="197"/>
      <c r="R867" s="197"/>
      <c r="S867" s="197"/>
      <c r="T867" s="197"/>
    </row>
    <row r="868" ht="15.75" customHeight="1">
      <c r="E868" s="197"/>
      <c r="F868" s="197"/>
      <c r="G868" s="197"/>
      <c r="H868" s="197"/>
      <c r="I868" s="197"/>
      <c r="J868" s="197"/>
      <c r="K868" s="197"/>
      <c r="L868" s="197"/>
      <c r="M868" s="197"/>
      <c r="N868" s="197"/>
      <c r="O868" s="197"/>
      <c r="P868" s="197"/>
      <c r="Q868" s="197"/>
      <c r="R868" s="197"/>
      <c r="S868" s="197"/>
      <c r="T868" s="197"/>
    </row>
    <row r="869" ht="15.75" customHeight="1">
      <c r="E869" s="197"/>
      <c r="F869" s="197"/>
      <c r="G869" s="197"/>
      <c r="H869" s="197"/>
      <c r="I869" s="197"/>
      <c r="J869" s="197"/>
      <c r="K869" s="197"/>
      <c r="L869" s="197"/>
      <c r="M869" s="197"/>
      <c r="N869" s="197"/>
      <c r="O869" s="197"/>
      <c r="P869" s="197"/>
      <c r="Q869" s="197"/>
      <c r="R869" s="197"/>
      <c r="S869" s="197"/>
      <c r="T869" s="197"/>
    </row>
    <row r="870" ht="15.75" customHeight="1">
      <c r="E870" s="197"/>
      <c r="F870" s="197"/>
      <c r="G870" s="197"/>
      <c r="H870" s="197"/>
      <c r="I870" s="197"/>
      <c r="J870" s="197"/>
      <c r="K870" s="197"/>
      <c r="L870" s="197"/>
      <c r="M870" s="197"/>
      <c r="N870" s="197"/>
      <c r="O870" s="197"/>
      <c r="P870" s="197"/>
      <c r="Q870" s="197"/>
      <c r="R870" s="197"/>
      <c r="S870" s="197"/>
      <c r="T870" s="197"/>
    </row>
    <row r="871" ht="15.75" customHeight="1">
      <c r="E871" s="197"/>
      <c r="F871" s="197"/>
      <c r="G871" s="197"/>
      <c r="H871" s="197"/>
      <c r="I871" s="197"/>
      <c r="J871" s="197"/>
      <c r="K871" s="197"/>
      <c r="L871" s="197"/>
      <c r="M871" s="197"/>
      <c r="N871" s="197"/>
      <c r="O871" s="197"/>
      <c r="P871" s="197"/>
      <c r="Q871" s="197"/>
      <c r="R871" s="197"/>
      <c r="S871" s="197"/>
      <c r="T871" s="197"/>
    </row>
    <row r="872" ht="15.75" customHeight="1">
      <c r="E872" s="197"/>
      <c r="F872" s="197"/>
      <c r="G872" s="197"/>
      <c r="H872" s="197"/>
      <c r="I872" s="197"/>
      <c r="J872" s="197"/>
      <c r="K872" s="197"/>
      <c r="L872" s="197"/>
      <c r="M872" s="197"/>
      <c r="N872" s="197"/>
      <c r="O872" s="197"/>
      <c r="P872" s="197"/>
      <c r="Q872" s="197"/>
      <c r="R872" s="197"/>
      <c r="S872" s="197"/>
      <c r="T872" s="197"/>
    </row>
    <row r="873" ht="15.75" customHeight="1">
      <c r="E873" s="197"/>
      <c r="F873" s="197"/>
      <c r="G873" s="197"/>
      <c r="H873" s="197"/>
      <c r="I873" s="197"/>
      <c r="J873" s="197"/>
      <c r="K873" s="197"/>
      <c r="L873" s="197"/>
      <c r="M873" s="197"/>
      <c r="N873" s="197"/>
      <c r="O873" s="197"/>
      <c r="P873" s="197"/>
      <c r="Q873" s="197"/>
      <c r="R873" s="197"/>
      <c r="S873" s="197"/>
      <c r="T873" s="197"/>
    </row>
    <row r="874" ht="15.75" customHeight="1">
      <c r="E874" s="197"/>
      <c r="F874" s="197"/>
      <c r="G874" s="197"/>
      <c r="H874" s="197"/>
      <c r="I874" s="197"/>
      <c r="J874" s="197"/>
      <c r="K874" s="197"/>
      <c r="L874" s="197"/>
      <c r="M874" s="197"/>
      <c r="N874" s="197"/>
      <c r="O874" s="197"/>
      <c r="P874" s="197"/>
      <c r="Q874" s="197"/>
      <c r="R874" s="197"/>
      <c r="S874" s="197"/>
      <c r="T874" s="197"/>
    </row>
    <row r="875" ht="15.75" customHeight="1">
      <c r="E875" s="197"/>
      <c r="F875" s="197"/>
      <c r="G875" s="197"/>
      <c r="H875" s="197"/>
      <c r="I875" s="197"/>
      <c r="J875" s="197"/>
      <c r="K875" s="197"/>
      <c r="L875" s="197"/>
      <c r="M875" s="197"/>
      <c r="N875" s="197"/>
      <c r="O875" s="197"/>
      <c r="P875" s="197"/>
      <c r="Q875" s="197"/>
      <c r="R875" s="197"/>
      <c r="S875" s="197"/>
      <c r="T875" s="197"/>
    </row>
    <row r="876" ht="15.75" customHeight="1">
      <c r="E876" s="197"/>
      <c r="F876" s="197"/>
      <c r="G876" s="197"/>
      <c r="H876" s="197"/>
      <c r="I876" s="197"/>
      <c r="J876" s="197"/>
      <c r="K876" s="197"/>
      <c r="L876" s="197"/>
      <c r="M876" s="197"/>
      <c r="N876" s="197"/>
      <c r="O876" s="197"/>
      <c r="P876" s="197"/>
      <c r="Q876" s="197"/>
      <c r="R876" s="197"/>
      <c r="S876" s="197"/>
      <c r="T876" s="197"/>
    </row>
    <row r="877" ht="15.75" customHeight="1">
      <c r="E877" s="197"/>
      <c r="F877" s="197"/>
      <c r="G877" s="197"/>
      <c r="H877" s="197"/>
      <c r="I877" s="197"/>
      <c r="J877" s="197"/>
      <c r="K877" s="197"/>
      <c r="L877" s="197"/>
      <c r="M877" s="197"/>
      <c r="N877" s="197"/>
      <c r="O877" s="197"/>
      <c r="P877" s="197"/>
      <c r="Q877" s="197"/>
      <c r="R877" s="197"/>
      <c r="S877" s="197"/>
      <c r="T877" s="197"/>
    </row>
    <row r="878" ht="15.75" customHeight="1">
      <c r="E878" s="197"/>
      <c r="F878" s="197"/>
      <c r="G878" s="197"/>
      <c r="H878" s="197"/>
      <c r="I878" s="197"/>
      <c r="J878" s="197"/>
      <c r="K878" s="197"/>
      <c r="L878" s="197"/>
      <c r="M878" s="197"/>
      <c r="N878" s="197"/>
      <c r="O878" s="197"/>
      <c r="P878" s="197"/>
      <c r="Q878" s="197"/>
      <c r="R878" s="197"/>
      <c r="S878" s="197"/>
      <c r="T878" s="197"/>
    </row>
    <row r="879" ht="15.75" customHeight="1">
      <c r="E879" s="197"/>
      <c r="F879" s="197"/>
      <c r="G879" s="197"/>
      <c r="H879" s="197"/>
      <c r="I879" s="197"/>
      <c r="J879" s="197"/>
      <c r="K879" s="197"/>
      <c r="L879" s="197"/>
      <c r="M879" s="197"/>
      <c r="N879" s="197"/>
      <c r="O879" s="197"/>
      <c r="P879" s="197"/>
      <c r="Q879" s="197"/>
      <c r="R879" s="197"/>
      <c r="S879" s="197"/>
      <c r="T879" s="197"/>
    </row>
    <row r="880" ht="15.75" customHeight="1">
      <c r="E880" s="197"/>
      <c r="F880" s="197"/>
      <c r="G880" s="197"/>
      <c r="H880" s="197"/>
      <c r="I880" s="197"/>
      <c r="J880" s="197"/>
      <c r="K880" s="197"/>
      <c r="L880" s="197"/>
      <c r="M880" s="197"/>
      <c r="N880" s="197"/>
      <c r="O880" s="197"/>
      <c r="P880" s="197"/>
      <c r="Q880" s="197"/>
      <c r="R880" s="197"/>
      <c r="S880" s="197"/>
      <c r="T880" s="197"/>
    </row>
    <row r="881" ht="15.75" customHeight="1">
      <c r="E881" s="197"/>
      <c r="F881" s="197"/>
      <c r="G881" s="197"/>
      <c r="H881" s="197"/>
      <c r="I881" s="197"/>
      <c r="J881" s="197"/>
      <c r="K881" s="197"/>
      <c r="L881" s="197"/>
      <c r="M881" s="197"/>
      <c r="N881" s="197"/>
      <c r="O881" s="197"/>
      <c r="P881" s="197"/>
      <c r="Q881" s="197"/>
      <c r="R881" s="197"/>
      <c r="S881" s="197"/>
      <c r="T881" s="197"/>
    </row>
    <row r="882" ht="15.75" customHeight="1">
      <c r="E882" s="197"/>
      <c r="F882" s="197"/>
      <c r="G882" s="197"/>
      <c r="H882" s="197"/>
      <c r="I882" s="197"/>
      <c r="J882" s="197"/>
      <c r="K882" s="197"/>
      <c r="L882" s="197"/>
      <c r="M882" s="197"/>
      <c r="N882" s="197"/>
      <c r="O882" s="197"/>
      <c r="P882" s="197"/>
      <c r="Q882" s="197"/>
      <c r="R882" s="197"/>
      <c r="S882" s="197"/>
      <c r="T882" s="197"/>
    </row>
    <row r="883" ht="15.75" customHeight="1">
      <c r="E883" s="197"/>
      <c r="F883" s="197"/>
      <c r="G883" s="197"/>
      <c r="H883" s="197"/>
      <c r="I883" s="197"/>
      <c r="J883" s="197"/>
      <c r="K883" s="197"/>
      <c r="L883" s="197"/>
      <c r="M883" s="197"/>
      <c r="N883" s="197"/>
      <c r="O883" s="197"/>
      <c r="P883" s="197"/>
      <c r="Q883" s="197"/>
      <c r="R883" s="197"/>
      <c r="S883" s="197"/>
      <c r="T883" s="197"/>
    </row>
    <row r="884" ht="15.75" customHeight="1">
      <c r="E884" s="197"/>
      <c r="F884" s="197"/>
      <c r="G884" s="197"/>
      <c r="H884" s="197"/>
      <c r="I884" s="197"/>
      <c r="J884" s="197"/>
      <c r="K884" s="197"/>
      <c r="L884" s="197"/>
      <c r="M884" s="197"/>
      <c r="N884" s="197"/>
      <c r="O884" s="197"/>
      <c r="P884" s="197"/>
      <c r="Q884" s="197"/>
      <c r="R884" s="197"/>
      <c r="S884" s="197"/>
      <c r="T884" s="197"/>
    </row>
    <row r="885" ht="15.75" customHeight="1">
      <c r="E885" s="197"/>
      <c r="F885" s="197"/>
      <c r="G885" s="197"/>
      <c r="H885" s="197"/>
      <c r="I885" s="197"/>
      <c r="J885" s="197"/>
      <c r="K885" s="197"/>
      <c r="L885" s="197"/>
      <c r="M885" s="197"/>
      <c r="N885" s="197"/>
      <c r="O885" s="197"/>
      <c r="P885" s="197"/>
      <c r="Q885" s="197"/>
      <c r="R885" s="197"/>
      <c r="S885" s="197"/>
      <c r="T885" s="197"/>
    </row>
    <row r="886" ht="15.75" customHeight="1">
      <c r="E886" s="197"/>
      <c r="F886" s="197"/>
      <c r="G886" s="197"/>
      <c r="H886" s="197"/>
      <c r="I886" s="197"/>
      <c r="J886" s="197"/>
      <c r="K886" s="197"/>
      <c r="L886" s="197"/>
      <c r="M886" s="197"/>
      <c r="N886" s="197"/>
      <c r="O886" s="197"/>
      <c r="P886" s="197"/>
      <c r="Q886" s="197"/>
      <c r="R886" s="197"/>
      <c r="S886" s="197"/>
      <c r="T886" s="197"/>
    </row>
    <row r="887" ht="15.75" customHeight="1">
      <c r="E887" s="197"/>
      <c r="F887" s="197"/>
      <c r="G887" s="197"/>
      <c r="H887" s="197"/>
      <c r="I887" s="197"/>
      <c r="J887" s="197"/>
      <c r="K887" s="197"/>
      <c r="L887" s="197"/>
      <c r="M887" s="197"/>
      <c r="N887" s="197"/>
      <c r="O887" s="197"/>
      <c r="P887" s="197"/>
      <c r="Q887" s="197"/>
      <c r="R887" s="197"/>
      <c r="S887" s="197"/>
      <c r="T887" s="197"/>
    </row>
    <row r="888" ht="15.75" customHeight="1">
      <c r="E888" s="197"/>
      <c r="F888" s="197"/>
      <c r="G888" s="197"/>
      <c r="H888" s="197"/>
      <c r="I888" s="197"/>
      <c r="J888" s="197"/>
      <c r="K888" s="197"/>
      <c r="L888" s="197"/>
      <c r="M888" s="197"/>
      <c r="N888" s="197"/>
      <c r="O888" s="197"/>
      <c r="P888" s="197"/>
      <c r="Q888" s="197"/>
      <c r="R888" s="197"/>
      <c r="S888" s="197"/>
      <c r="T888" s="197"/>
    </row>
    <row r="889" ht="15.75" customHeight="1">
      <c r="E889" s="197"/>
      <c r="F889" s="197"/>
      <c r="G889" s="197"/>
      <c r="H889" s="197"/>
      <c r="I889" s="197"/>
      <c r="J889" s="197"/>
      <c r="K889" s="197"/>
      <c r="L889" s="197"/>
      <c r="M889" s="197"/>
      <c r="N889" s="197"/>
      <c r="O889" s="197"/>
      <c r="P889" s="197"/>
      <c r="Q889" s="197"/>
      <c r="R889" s="197"/>
      <c r="S889" s="197"/>
      <c r="T889" s="197"/>
    </row>
    <row r="890" ht="15.75" customHeight="1">
      <c r="E890" s="197"/>
      <c r="F890" s="197"/>
      <c r="G890" s="197"/>
      <c r="H890" s="197"/>
      <c r="I890" s="197"/>
      <c r="J890" s="197"/>
      <c r="K890" s="197"/>
      <c r="L890" s="197"/>
      <c r="M890" s="197"/>
      <c r="N890" s="197"/>
      <c r="O890" s="197"/>
      <c r="P890" s="197"/>
      <c r="Q890" s="197"/>
      <c r="R890" s="197"/>
      <c r="S890" s="197"/>
      <c r="T890" s="197"/>
    </row>
    <row r="891" ht="15.75" customHeight="1">
      <c r="E891" s="197"/>
      <c r="F891" s="197"/>
      <c r="G891" s="197"/>
      <c r="H891" s="197"/>
      <c r="I891" s="197"/>
      <c r="J891" s="197"/>
      <c r="K891" s="197"/>
      <c r="L891" s="197"/>
      <c r="M891" s="197"/>
      <c r="N891" s="197"/>
      <c r="O891" s="197"/>
      <c r="P891" s="197"/>
      <c r="Q891" s="197"/>
      <c r="R891" s="197"/>
      <c r="S891" s="197"/>
      <c r="T891" s="197"/>
    </row>
    <row r="892" ht="15.75" customHeight="1">
      <c r="E892" s="197"/>
      <c r="F892" s="197"/>
      <c r="G892" s="197"/>
      <c r="H892" s="197"/>
      <c r="I892" s="197"/>
      <c r="J892" s="197"/>
      <c r="K892" s="197"/>
      <c r="L892" s="197"/>
      <c r="M892" s="197"/>
      <c r="N892" s="197"/>
      <c r="O892" s="197"/>
      <c r="P892" s="197"/>
      <c r="Q892" s="197"/>
      <c r="R892" s="197"/>
      <c r="S892" s="197"/>
      <c r="T892" s="197"/>
    </row>
    <row r="893" ht="15.75" customHeight="1">
      <c r="E893" s="197"/>
      <c r="F893" s="197"/>
      <c r="G893" s="197"/>
      <c r="H893" s="197"/>
      <c r="I893" s="197"/>
      <c r="J893" s="197"/>
      <c r="K893" s="197"/>
      <c r="L893" s="197"/>
      <c r="M893" s="197"/>
      <c r="N893" s="197"/>
      <c r="O893" s="197"/>
      <c r="P893" s="197"/>
      <c r="Q893" s="197"/>
      <c r="R893" s="197"/>
      <c r="S893" s="197"/>
      <c r="T893" s="197"/>
    </row>
    <row r="894" ht="15.75" customHeight="1">
      <c r="E894" s="197"/>
      <c r="F894" s="197"/>
      <c r="G894" s="197"/>
      <c r="H894" s="197"/>
      <c r="I894" s="197"/>
      <c r="J894" s="197"/>
      <c r="K894" s="197"/>
      <c r="L894" s="197"/>
      <c r="M894" s="197"/>
      <c r="N894" s="197"/>
      <c r="O894" s="197"/>
      <c r="P894" s="197"/>
      <c r="Q894" s="197"/>
      <c r="R894" s="197"/>
      <c r="S894" s="197"/>
      <c r="T894" s="197"/>
    </row>
    <row r="895" ht="15.75" customHeight="1">
      <c r="E895" s="197"/>
      <c r="F895" s="197"/>
      <c r="G895" s="197"/>
      <c r="H895" s="197"/>
      <c r="I895" s="197"/>
      <c r="J895" s="197"/>
      <c r="K895" s="197"/>
      <c r="L895" s="197"/>
      <c r="M895" s="197"/>
      <c r="N895" s="197"/>
      <c r="O895" s="197"/>
      <c r="P895" s="197"/>
      <c r="Q895" s="197"/>
      <c r="R895" s="197"/>
      <c r="S895" s="197"/>
      <c r="T895" s="197"/>
    </row>
    <row r="896" ht="15.75" customHeight="1">
      <c r="E896" s="197"/>
      <c r="F896" s="197"/>
      <c r="G896" s="197"/>
      <c r="H896" s="197"/>
      <c r="I896" s="197"/>
      <c r="J896" s="197"/>
      <c r="K896" s="197"/>
      <c r="L896" s="197"/>
      <c r="M896" s="197"/>
      <c r="N896" s="197"/>
      <c r="O896" s="197"/>
      <c r="P896" s="197"/>
      <c r="Q896" s="197"/>
      <c r="R896" s="197"/>
      <c r="S896" s="197"/>
      <c r="T896" s="197"/>
    </row>
    <row r="897" ht="15.75" customHeight="1">
      <c r="E897" s="197"/>
      <c r="F897" s="197"/>
      <c r="G897" s="197"/>
      <c r="H897" s="197"/>
      <c r="I897" s="197"/>
      <c r="J897" s="197"/>
      <c r="K897" s="197"/>
      <c r="L897" s="197"/>
      <c r="M897" s="197"/>
      <c r="N897" s="197"/>
      <c r="O897" s="197"/>
      <c r="P897" s="197"/>
      <c r="Q897" s="197"/>
      <c r="R897" s="197"/>
      <c r="S897" s="197"/>
      <c r="T897" s="197"/>
    </row>
    <row r="898" ht="15.75" customHeight="1">
      <c r="E898" s="197"/>
      <c r="F898" s="197"/>
      <c r="G898" s="197"/>
      <c r="H898" s="197"/>
      <c r="I898" s="197"/>
      <c r="J898" s="197"/>
      <c r="K898" s="197"/>
      <c r="L898" s="197"/>
      <c r="M898" s="197"/>
      <c r="N898" s="197"/>
      <c r="O898" s="197"/>
      <c r="P898" s="197"/>
      <c r="Q898" s="197"/>
      <c r="R898" s="197"/>
      <c r="S898" s="197"/>
      <c r="T898" s="197"/>
    </row>
    <row r="899" ht="15.75" customHeight="1">
      <c r="E899" s="197"/>
      <c r="F899" s="197"/>
      <c r="G899" s="197"/>
      <c r="H899" s="197"/>
      <c r="I899" s="197"/>
      <c r="J899" s="197"/>
      <c r="K899" s="197"/>
      <c r="L899" s="197"/>
      <c r="M899" s="197"/>
      <c r="N899" s="197"/>
      <c r="O899" s="197"/>
      <c r="P899" s="197"/>
      <c r="Q899" s="197"/>
      <c r="R899" s="197"/>
      <c r="S899" s="197"/>
      <c r="T899" s="197"/>
    </row>
    <row r="900" ht="15.75" customHeight="1">
      <c r="E900" s="197"/>
      <c r="F900" s="197"/>
      <c r="G900" s="197"/>
      <c r="H900" s="197"/>
      <c r="I900" s="197"/>
      <c r="J900" s="197"/>
      <c r="K900" s="197"/>
      <c r="L900" s="197"/>
      <c r="M900" s="197"/>
      <c r="N900" s="197"/>
      <c r="O900" s="197"/>
      <c r="P900" s="197"/>
      <c r="Q900" s="197"/>
      <c r="R900" s="197"/>
      <c r="S900" s="197"/>
      <c r="T900" s="197"/>
    </row>
    <row r="901" ht="15.75" customHeight="1">
      <c r="E901" s="197"/>
      <c r="F901" s="197"/>
      <c r="G901" s="197"/>
      <c r="H901" s="197"/>
      <c r="I901" s="197"/>
      <c r="J901" s="197"/>
      <c r="K901" s="197"/>
      <c r="L901" s="197"/>
      <c r="M901" s="197"/>
      <c r="N901" s="197"/>
      <c r="O901" s="197"/>
      <c r="P901" s="197"/>
      <c r="Q901" s="197"/>
      <c r="R901" s="197"/>
      <c r="S901" s="197"/>
      <c r="T901" s="197"/>
    </row>
    <row r="902" ht="15.75" customHeight="1">
      <c r="E902" s="197"/>
      <c r="F902" s="197"/>
      <c r="G902" s="197"/>
      <c r="H902" s="197"/>
      <c r="I902" s="197"/>
      <c r="J902" s="197"/>
      <c r="K902" s="197"/>
      <c r="L902" s="197"/>
      <c r="M902" s="197"/>
      <c r="N902" s="197"/>
      <c r="O902" s="197"/>
      <c r="P902" s="197"/>
      <c r="Q902" s="197"/>
      <c r="R902" s="197"/>
      <c r="S902" s="197"/>
      <c r="T902" s="197"/>
    </row>
    <row r="903" ht="15.75" customHeight="1">
      <c r="E903" s="197"/>
      <c r="F903" s="197"/>
      <c r="G903" s="197"/>
      <c r="H903" s="197"/>
      <c r="I903" s="197"/>
      <c r="J903" s="197"/>
      <c r="K903" s="197"/>
      <c r="L903" s="197"/>
      <c r="M903" s="197"/>
      <c r="N903" s="197"/>
      <c r="O903" s="197"/>
      <c r="P903" s="197"/>
      <c r="Q903" s="197"/>
      <c r="R903" s="197"/>
      <c r="S903" s="197"/>
      <c r="T903" s="197"/>
    </row>
    <row r="904" ht="15.75" customHeight="1">
      <c r="E904" s="197"/>
      <c r="F904" s="197"/>
      <c r="G904" s="197"/>
      <c r="H904" s="197"/>
      <c r="I904" s="197"/>
      <c r="J904" s="197"/>
      <c r="K904" s="197"/>
      <c r="L904" s="197"/>
      <c r="M904" s="197"/>
      <c r="N904" s="197"/>
      <c r="O904" s="197"/>
      <c r="P904" s="197"/>
      <c r="Q904" s="197"/>
      <c r="R904" s="197"/>
      <c r="S904" s="197"/>
      <c r="T904" s="197"/>
    </row>
    <row r="905" ht="15.75" customHeight="1">
      <c r="E905" s="197"/>
      <c r="F905" s="197"/>
      <c r="G905" s="197"/>
      <c r="H905" s="197"/>
      <c r="I905" s="197"/>
      <c r="J905" s="197"/>
      <c r="K905" s="197"/>
      <c r="L905" s="197"/>
      <c r="M905" s="197"/>
      <c r="N905" s="197"/>
      <c r="O905" s="197"/>
      <c r="P905" s="197"/>
      <c r="Q905" s="197"/>
      <c r="R905" s="197"/>
      <c r="S905" s="197"/>
      <c r="T905" s="197"/>
    </row>
    <row r="906" ht="15.75" customHeight="1">
      <c r="E906" s="197"/>
      <c r="F906" s="197"/>
      <c r="G906" s="197"/>
      <c r="H906" s="197"/>
      <c r="I906" s="197"/>
      <c r="J906" s="197"/>
      <c r="K906" s="197"/>
      <c r="L906" s="197"/>
      <c r="M906" s="197"/>
      <c r="N906" s="197"/>
      <c r="O906" s="197"/>
      <c r="P906" s="197"/>
      <c r="Q906" s="197"/>
      <c r="R906" s="197"/>
      <c r="S906" s="197"/>
      <c r="T906" s="197"/>
    </row>
    <row r="907" ht="15.75" customHeight="1">
      <c r="E907" s="197"/>
      <c r="F907" s="197"/>
      <c r="G907" s="197"/>
      <c r="H907" s="197"/>
      <c r="I907" s="197"/>
      <c r="J907" s="197"/>
      <c r="K907" s="197"/>
      <c r="L907" s="197"/>
      <c r="M907" s="197"/>
      <c r="N907" s="197"/>
      <c r="O907" s="197"/>
      <c r="P907" s="197"/>
      <c r="Q907" s="197"/>
      <c r="R907" s="197"/>
      <c r="S907" s="197"/>
      <c r="T907" s="197"/>
    </row>
    <row r="908" ht="15.75" customHeight="1">
      <c r="E908" s="197"/>
      <c r="F908" s="197"/>
      <c r="G908" s="197"/>
      <c r="H908" s="197"/>
      <c r="I908" s="197"/>
      <c r="J908" s="197"/>
      <c r="K908" s="197"/>
      <c r="L908" s="197"/>
      <c r="M908" s="197"/>
      <c r="N908" s="197"/>
      <c r="O908" s="197"/>
      <c r="P908" s="197"/>
      <c r="Q908" s="197"/>
      <c r="R908" s="197"/>
      <c r="S908" s="197"/>
      <c r="T908" s="197"/>
    </row>
    <row r="909" ht="15.75" customHeight="1">
      <c r="E909" s="197"/>
      <c r="F909" s="197"/>
      <c r="G909" s="197"/>
      <c r="H909" s="197"/>
      <c r="I909" s="197"/>
      <c r="J909" s="197"/>
      <c r="K909" s="197"/>
      <c r="L909" s="197"/>
      <c r="M909" s="197"/>
      <c r="N909" s="197"/>
      <c r="O909" s="197"/>
      <c r="P909" s="197"/>
      <c r="Q909" s="197"/>
      <c r="R909" s="197"/>
      <c r="S909" s="197"/>
      <c r="T909" s="197"/>
    </row>
    <row r="910" ht="15.75" customHeight="1">
      <c r="E910" s="197"/>
      <c r="F910" s="197"/>
      <c r="G910" s="197"/>
      <c r="H910" s="197"/>
      <c r="I910" s="197"/>
      <c r="J910" s="197"/>
      <c r="K910" s="197"/>
      <c r="L910" s="197"/>
      <c r="M910" s="197"/>
      <c r="N910" s="197"/>
      <c r="O910" s="197"/>
      <c r="P910" s="197"/>
      <c r="Q910" s="197"/>
      <c r="R910" s="197"/>
      <c r="S910" s="197"/>
      <c r="T910" s="197"/>
    </row>
    <row r="911" ht="15.75" customHeight="1">
      <c r="E911" s="197"/>
      <c r="F911" s="197"/>
      <c r="G911" s="197"/>
      <c r="H911" s="197"/>
      <c r="I911" s="197"/>
      <c r="J911" s="197"/>
      <c r="K911" s="197"/>
      <c r="L911" s="197"/>
      <c r="M911" s="197"/>
      <c r="N911" s="197"/>
      <c r="O911" s="197"/>
      <c r="P911" s="197"/>
      <c r="Q911" s="197"/>
      <c r="R911" s="197"/>
      <c r="S911" s="197"/>
      <c r="T911" s="197"/>
    </row>
    <row r="912" ht="15.75" customHeight="1">
      <c r="E912" s="197"/>
      <c r="F912" s="197"/>
      <c r="G912" s="197"/>
      <c r="H912" s="197"/>
      <c r="I912" s="197"/>
      <c r="J912" s="197"/>
      <c r="K912" s="197"/>
      <c r="L912" s="197"/>
      <c r="M912" s="197"/>
      <c r="N912" s="197"/>
      <c r="O912" s="197"/>
      <c r="P912" s="197"/>
      <c r="Q912" s="197"/>
      <c r="R912" s="197"/>
      <c r="S912" s="197"/>
      <c r="T912" s="197"/>
    </row>
    <row r="913" ht="15.75" customHeight="1">
      <c r="E913" s="197"/>
      <c r="F913" s="197"/>
      <c r="G913" s="197"/>
      <c r="H913" s="197"/>
      <c r="I913" s="197"/>
      <c r="J913" s="197"/>
      <c r="K913" s="197"/>
      <c r="L913" s="197"/>
      <c r="M913" s="197"/>
      <c r="N913" s="197"/>
      <c r="O913" s="197"/>
      <c r="P913" s="197"/>
      <c r="Q913" s="197"/>
      <c r="R913" s="197"/>
      <c r="S913" s="197"/>
      <c r="T913" s="197"/>
    </row>
    <row r="914" ht="15.75" customHeight="1">
      <c r="E914" s="197"/>
      <c r="F914" s="197"/>
      <c r="G914" s="197"/>
      <c r="H914" s="197"/>
      <c r="I914" s="197"/>
      <c r="J914" s="197"/>
      <c r="K914" s="197"/>
      <c r="L914" s="197"/>
      <c r="M914" s="197"/>
      <c r="N914" s="197"/>
      <c r="O914" s="197"/>
      <c r="P914" s="197"/>
      <c r="Q914" s="197"/>
      <c r="R914" s="197"/>
      <c r="S914" s="197"/>
      <c r="T914" s="197"/>
    </row>
    <row r="915" ht="15.75" customHeight="1">
      <c r="E915" s="197"/>
      <c r="F915" s="197"/>
      <c r="G915" s="197"/>
      <c r="H915" s="197"/>
      <c r="I915" s="197"/>
      <c r="J915" s="197"/>
      <c r="K915" s="197"/>
      <c r="L915" s="197"/>
      <c r="M915" s="197"/>
      <c r="N915" s="197"/>
      <c r="O915" s="197"/>
      <c r="P915" s="197"/>
      <c r="Q915" s="197"/>
      <c r="R915" s="197"/>
      <c r="S915" s="197"/>
      <c r="T915" s="197"/>
    </row>
    <row r="916" ht="15.75" customHeight="1">
      <c r="E916" s="197"/>
      <c r="F916" s="197"/>
      <c r="G916" s="197"/>
      <c r="H916" s="197"/>
      <c r="I916" s="197"/>
      <c r="J916" s="197"/>
      <c r="K916" s="197"/>
      <c r="L916" s="197"/>
      <c r="M916" s="197"/>
      <c r="N916" s="197"/>
      <c r="O916" s="197"/>
      <c r="P916" s="197"/>
      <c r="Q916" s="197"/>
      <c r="R916" s="197"/>
      <c r="S916" s="197"/>
      <c r="T916" s="197"/>
    </row>
    <row r="917" ht="15.75" customHeight="1">
      <c r="E917" s="197"/>
      <c r="F917" s="197"/>
      <c r="G917" s="197"/>
      <c r="H917" s="197"/>
      <c r="I917" s="197"/>
      <c r="J917" s="197"/>
      <c r="K917" s="197"/>
      <c r="L917" s="197"/>
      <c r="M917" s="197"/>
      <c r="N917" s="197"/>
      <c r="O917" s="197"/>
      <c r="P917" s="197"/>
      <c r="Q917" s="197"/>
      <c r="R917" s="197"/>
      <c r="S917" s="197"/>
      <c r="T917" s="197"/>
    </row>
    <row r="918" ht="15.75" customHeight="1">
      <c r="E918" s="197"/>
      <c r="F918" s="197"/>
      <c r="G918" s="197"/>
      <c r="H918" s="197"/>
      <c r="I918" s="197"/>
      <c r="J918" s="197"/>
      <c r="K918" s="197"/>
      <c r="L918" s="197"/>
      <c r="M918" s="197"/>
      <c r="N918" s="197"/>
      <c r="O918" s="197"/>
      <c r="P918" s="197"/>
      <c r="Q918" s="197"/>
      <c r="R918" s="197"/>
      <c r="S918" s="197"/>
      <c r="T918" s="197"/>
    </row>
    <row r="919" ht="15.75" customHeight="1">
      <c r="E919" s="197"/>
      <c r="F919" s="197"/>
      <c r="G919" s="197"/>
      <c r="H919" s="197"/>
      <c r="I919" s="197"/>
      <c r="J919" s="197"/>
      <c r="K919" s="197"/>
      <c r="L919" s="197"/>
      <c r="M919" s="197"/>
      <c r="N919" s="197"/>
      <c r="O919" s="197"/>
      <c r="P919" s="197"/>
      <c r="Q919" s="197"/>
      <c r="R919" s="197"/>
      <c r="S919" s="197"/>
      <c r="T919" s="197"/>
    </row>
    <row r="920" ht="15.75" customHeight="1">
      <c r="E920" s="197"/>
      <c r="F920" s="197"/>
      <c r="G920" s="197"/>
      <c r="H920" s="197"/>
      <c r="I920" s="197"/>
      <c r="J920" s="197"/>
      <c r="K920" s="197"/>
      <c r="L920" s="197"/>
      <c r="M920" s="197"/>
      <c r="N920" s="197"/>
      <c r="O920" s="197"/>
      <c r="P920" s="197"/>
      <c r="Q920" s="197"/>
      <c r="R920" s="197"/>
      <c r="S920" s="197"/>
      <c r="T920" s="197"/>
    </row>
    <row r="921" ht="15.75" customHeight="1">
      <c r="E921" s="197"/>
      <c r="F921" s="197"/>
      <c r="G921" s="197"/>
      <c r="H921" s="197"/>
      <c r="I921" s="197"/>
      <c r="J921" s="197"/>
      <c r="K921" s="197"/>
      <c r="L921" s="197"/>
      <c r="M921" s="197"/>
      <c r="N921" s="197"/>
      <c r="O921" s="197"/>
      <c r="P921" s="197"/>
      <c r="Q921" s="197"/>
      <c r="R921" s="197"/>
      <c r="S921" s="197"/>
      <c r="T921" s="197"/>
    </row>
    <row r="922" ht="15.75" customHeight="1">
      <c r="E922" s="197"/>
      <c r="F922" s="197"/>
      <c r="G922" s="197"/>
      <c r="H922" s="197"/>
      <c r="I922" s="197"/>
      <c r="J922" s="197"/>
      <c r="K922" s="197"/>
      <c r="L922" s="197"/>
      <c r="M922" s="197"/>
      <c r="N922" s="197"/>
      <c r="O922" s="197"/>
      <c r="P922" s="197"/>
      <c r="Q922" s="197"/>
      <c r="R922" s="197"/>
      <c r="S922" s="197"/>
      <c r="T922" s="197"/>
    </row>
    <row r="923" ht="15.75" customHeight="1">
      <c r="E923" s="197"/>
      <c r="F923" s="197"/>
      <c r="G923" s="197"/>
      <c r="H923" s="197"/>
      <c r="I923" s="197"/>
      <c r="J923" s="197"/>
      <c r="K923" s="197"/>
      <c r="L923" s="197"/>
      <c r="M923" s="197"/>
      <c r="N923" s="197"/>
      <c r="O923" s="197"/>
      <c r="P923" s="197"/>
      <c r="Q923" s="197"/>
      <c r="R923" s="197"/>
      <c r="S923" s="197"/>
      <c r="T923" s="197"/>
    </row>
    <row r="924" ht="15.75" customHeight="1">
      <c r="E924" s="197"/>
      <c r="F924" s="197"/>
      <c r="G924" s="197"/>
      <c r="H924" s="197"/>
      <c r="I924" s="197"/>
      <c r="J924" s="197"/>
      <c r="K924" s="197"/>
      <c r="L924" s="197"/>
      <c r="M924" s="197"/>
      <c r="N924" s="197"/>
      <c r="O924" s="197"/>
      <c r="P924" s="197"/>
      <c r="Q924" s="197"/>
      <c r="R924" s="197"/>
      <c r="S924" s="197"/>
      <c r="T924" s="197"/>
    </row>
    <row r="925" ht="15.75" customHeight="1">
      <c r="E925" s="197"/>
      <c r="F925" s="197"/>
      <c r="G925" s="197"/>
      <c r="H925" s="197"/>
      <c r="I925" s="197"/>
      <c r="J925" s="197"/>
      <c r="K925" s="197"/>
      <c r="L925" s="197"/>
      <c r="M925" s="197"/>
      <c r="N925" s="197"/>
      <c r="O925" s="197"/>
      <c r="P925" s="197"/>
      <c r="Q925" s="197"/>
      <c r="R925" s="197"/>
      <c r="S925" s="197"/>
      <c r="T925" s="197"/>
    </row>
    <row r="926" ht="15.75" customHeight="1">
      <c r="E926" s="197"/>
      <c r="F926" s="197"/>
      <c r="G926" s="197"/>
      <c r="H926" s="197"/>
      <c r="I926" s="197"/>
      <c r="J926" s="197"/>
      <c r="K926" s="197"/>
      <c r="L926" s="197"/>
      <c r="M926" s="197"/>
      <c r="N926" s="197"/>
      <c r="O926" s="197"/>
      <c r="P926" s="197"/>
      <c r="Q926" s="197"/>
      <c r="R926" s="197"/>
      <c r="S926" s="197"/>
      <c r="T926" s="197"/>
    </row>
    <row r="927" ht="15.75" customHeight="1">
      <c r="E927" s="197"/>
      <c r="F927" s="197"/>
      <c r="G927" s="197"/>
      <c r="H927" s="197"/>
      <c r="I927" s="197"/>
      <c r="J927" s="197"/>
      <c r="K927" s="197"/>
      <c r="L927" s="197"/>
      <c r="M927" s="197"/>
      <c r="N927" s="197"/>
      <c r="O927" s="197"/>
      <c r="P927" s="197"/>
      <c r="Q927" s="197"/>
      <c r="R927" s="197"/>
      <c r="S927" s="197"/>
      <c r="T927" s="197"/>
    </row>
    <row r="928" ht="15.75" customHeight="1">
      <c r="E928" s="197"/>
      <c r="F928" s="197"/>
      <c r="G928" s="197"/>
      <c r="H928" s="197"/>
      <c r="I928" s="197"/>
      <c r="J928" s="197"/>
      <c r="K928" s="197"/>
      <c r="L928" s="197"/>
      <c r="M928" s="197"/>
      <c r="N928" s="197"/>
      <c r="O928" s="197"/>
      <c r="P928" s="197"/>
      <c r="Q928" s="197"/>
      <c r="R928" s="197"/>
      <c r="S928" s="197"/>
      <c r="T928" s="197"/>
    </row>
    <row r="929" ht="15.75" customHeight="1">
      <c r="E929" s="197"/>
      <c r="F929" s="197"/>
      <c r="G929" s="197"/>
      <c r="H929" s="197"/>
      <c r="I929" s="197"/>
      <c r="J929" s="197"/>
      <c r="K929" s="197"/>
      <c r="L929" s="197"/>
      <c r="M929" s="197"/>
      <c r="N929" s="197"/>
      <c r="O929" s="197"/>
      <c r="P929" s="197"/>
      <c r="Q929" s="197"/>
      <c r="R929" s="197"/>
      <c r="S929" s="197"/>
      <c r="T929" s="197"/>
    </row>
    <row r="930" ht="15.75" customHeight="1">
      <c r="E930" s="197"/>
      <c r="F930" s="197"/>
      <c r="G930" s="197"/>
      <c r="H930" s="197"/>
      <c r="I930" s="197"/>
      <c r="J930" s="197"/>
      <c r="K930" s="197"/>
      <c r="L930" s="197"/>
      <c r="M930" s="197"/>
      <c r="N930" s="197"/>
      <c r="O930" s="197"/>
      <c r="P930" s="197"/>
      <c r="Q930" s="197"/>
      <c r="R930" s="197"/>
      <c r="S930" s="197"/>
      <c r="T930" s="197"/>
    </row>
    <row r="931" ht="15.75" customHeight="1">
      <c r="E931" s="197"/>
      <c r="F931" s="197"/>
      <c r="G931" s="197"/>
      <c r="H931" s="197"/>
      <c r="I931" s="197"/>
      <c r="J931" s="197"/>
      <c r="K931" s="197"/>
      <c r="L931" s="197"/>
      <c r="M931" s="197"/>
      <c r="N931" s="197"/>
      <c r="O931" s="197"/>
      <c r="P931" s="197"/>
      <c r="Q931" s="197"/>
      <c r="R931" s="197"/>
      <c r="S931" s="197"/>
      <c r="T931" s="197"/>
    </row>
    <row r="932" ht="15.75" customHeight="1">
      <c r="E932" s="197"/>
      <c r="F932" s="197"/>
      <c r="G932" s="197"/>
      <c r="H932" s="197"/>
      <c r="I932" s="197"/>
      <c r="J932" s="197"/>
      <c r="K932" s="197"/>
      <c r="L932" s="197"/>
      <c r="M932" s="197"/>
      <c r="N932" s="197"/>
      <c r="O932" s="197"/>
      <c r="P932" s="197"/>
      <c r="Q932" s="197"/>
      <c r="R932" s="197"/>
      <c r="S932" s="197"/>
      <c r="T932" s="197"/>
    </row>
    <row r="933" ht="15.75" customHeight="1">
      <c r="E933" s="197"/>
      <c r="F933" s="197"/>
      <c r="G933" s="197"/>
      <c r="H933" s="197"/>
      <c r="I933" s="197"/>
      <c r="J933" s="197"/>
      <c r="K933" s="197"/>
      <c r="L933" s="197"/>
      <c r="M933" s="197"/>
      <c r="N933" s="197"/>
      <c r="O933" s="197"/>
      <c r="P933" s="197"/>
      <c r="Q933" s="197"/>
      <c r="R933" s="197"/>
      <c r="S933" s="197"/>
      <c r="T933" s="197"/>
    </row>
    <row r="934" ht="15.75" customHeight="1">
      <c r="E934" s="197"/>
      <c r="F934" s="197"/>
      <c r="G934" s="197"/>
      <c r="H934" s="197"/>
      <c r="I934" s="197"/>
      <c r="J934" s="197"/>
      <c r="K934" s="197"/>
      <c r="L934" s="197"/>
      <c r="M934" s="197"/>
      <c r="N934" s="197"/>
      <c r="O934" s="197"/>
      <c r="P934" s="197"/>
      <c r="Q934" s="197"/>
      <c r="R934" s="197"/>
      <c r="S934" s="197"/>
      <c r="T934" s="197"/>
    </row>
    <row r="935" ht="15.75" customHeight="1">
      <c r="E935" s="197"/>
      <c r="F935" s="197"/>
      <c r="G935" s="197"/>
      <c r="H935" s="197"/>
      <c r="I935" s="197"/>
      <c r="J935" s="197"/>
      <c r="K935" s="197"/>
      <c r="L935" s="197"/>
      <c r="M935" s="197"/>
      <c r="N935" s="197"/>
      <c r="O935" s="197"/>
      <c r="P935" s="197"/>
      <c r="Q935" s="197"/>
      <c r="R935" s="197"/>
      <c r="S935" s="197"/>
      <c r="T935" s="197"/>
    </row>
    <row r="936" ht="15.75" customHeight="1">
      <c r="E936" s="197"/>
      <c r="F936" s="197"/>
      <c r="G936" s="197"/>
      <c r="H936" s="197"/>
      <c r="I936" s="197"/>
      <c r="J936" s="197"/>
      <c r="K936" s="197"/>
      <c r="L936" s="197"/>
      <c r="M936" s="197"/>
      <c r="N936" s="197"/>
      <c r="O936" s="197"/>
      <c r="P936" s="197"/>
      <c r="Q936" s="197"/>
      <c r="R936" s="197"/>
      <c r="S936" s="197"/>
      <c r="T936" s="197"/>
    </row>
    <row r="937" ht="15.75" customHeight="1">
      <c r="E937" s="197"/>
      <c r="F937" s="197"/>
      <c r="G937" s="197"/>
      <c r="H937" s="197"/>
      <c r="I937" s="197"/>
      <c r="J937" s="197"/>
      <c r="K937" s="197"/>
      <c r="L937" s="197"/>
      <c r="M937" s="197"/>
      <c r="N937" s="197"/>
      <c r="O937" s="197"/>
      <c r="P937" s="197"/>
      <c r="Q937" s="197"/>
      <c r="R937" s="197"/>
      <c r="S937" s="197"/>
      <c r="T937" s="197"/>
    </row>
    <row r="938" ht="15.75" customHeight="1">
      <c r="E938" s="197"/>
      <c r="F938" s="197"/>
      <c r="G938" s="197"/>
      <c r="H938" s="197"/>
      <c r="I938" s="197"/>
      <c r="J938" s="197"/>
      <c r="K938" s="197"/>
      <c r="L938" s="197"/>
      <c r="M938" s="197"/>
      <c r="N938" s="197"/>
      <c r="O938" s="197"/>
      <c r="P938" s="197"/>
      <c r="Q938" s="197"/>
      <c r="R938" s="197"/>
      <c r="S938" s="197"/>
      <c r="T938" s="197"/>
    </row>
    <row r="939" ht="15.75" customHeight="1">
      <c r="E939" s="197"/>
      <c r="F939" s="197"/>
      <c r="G939" s="197"/>
      <c r="H939" s="197"/>
      <c r="I939" s="197"/>
      <c r="J939" s="197"/>
      <c r="K939" s="197"/>
      <c r="L939" s="197"/>
      <c r="M939" s="197"/>
      <c r="N939" s="197"/>
      <c r="O939" s="197"/>
      <c r="P939" s="197"/>
      <c r="Q939" s="197"/>
      <c r="R939" s="197"/>
      <c r="S939" s="197"/>
      <c r="T939" s="197"/>
    </row>
    <row r="940" ht="15.75" customHeight="1">
      <c r="E940" s="197"/>
      <c r="F940" s="197"/>
      <c r="G940" s="197"/>
      <c r="H940" s="197"/>
      <c r="I940" s="197"/>
      <c r="J940" s="197"/>
      <c r="K940" s="197"/>
      <c r="L940" s="197"/>
      <c r="M940" s="197"/>
      <c r="N940" s="197"/>
      <c r="O940" s="197"/>
      <c r="P940" s="197"/>
      <c r="Q940" s="197"/>
      <c r="R940" s="197"/>
      <c r="S940" s="197"/>
      <c r="T940" s="197"/>
    </row>
    <row r="941" ht="15.75" customHeight="1">
      <c r="E941" s="197"/>
      <c r="F941" s="197"/>
      <c r="G941" s="197"/>
      <c r="H941" s="197"/>
      <c r="I941" s="197"/>
      <c r="J941" s="197"/>
      <c r="K941" s="197"/>
      <c r="L941" s="197"/>
      <c r="M941" s="197"/>
      <c r="N941" s="197"/>
      <c r="O941" s="197"/>
      <c r="P941" s="197"/>
      <c r="Q941" s="197"/>
      <c r="R941" s="197"/>
      <c r="S941" s="197"/>
      <c r="T941" s="197"/>
    </row>
    <row r="942" ht="15.75" customHeight="1">
      <c r="E942" s="197"/>
      <c r="F942" s="197"/>
      <c r="G942" s="197"/>
      <c r="H942" s="197"/>
      <c r="I942" s="197"/>
      <c r="J942" s="197"/>
      <c r="K942" s="197"/>
      <c r="L942" s="197"/>
      <c r="M942" s="197"/>
      <c r="N942" s="197"/>
      <c r="O942" s="197"/>
      <c r="P942" s="197"/>
      <c r="Q942" s="197"/>
      <c r="R942" s="197"/>
      <c r="S942" s="197"/>
      <c r="T942" s="197"/>
    </row>
    <row r="943" ht="15.75" customHeight="1">
      <c r="E943" s="197"/>
      <c r="F943" s="197"/>
      <c r="G943" s="197"/>
      <c r="H943" s="197"/>
      <c r="I943" s="197"/>
      <c r="J943" s="197"/>
      <c r="K943" s="197"/>
      <c r="L943" s="197"/>
      <c r="M943" s="197"/>
      <c r="N943" s="197"/>
      <c r="O943" s="197"/>
      <c r="P943" s="197"/>
      <c r="Q943" s="197"/>
      <c r="R943" s="197"/>
      <c r="S943" s="197"/>
      <c r="T943" s="197"/>
    </row>
    <row r="944" ht="15.75" customHeight="1">
      <c r="E944" s="197"/>
      <c r="F944" s="197"/>
      <c r="G944" s="197"/>
      <c r="H944" s="197"/>
      <c r="I944" s="197"/>
      <c r="J944" s="197"/>
      <c r="K944" s="197"/>
      <c r="L944" s="197"/>
      <c r="M944" s="197"/>
      <c r="N944" s="197"/>
      <c r="O944" s="197"/>
      <c r="P944" s="197"/>
      <c r="Q944" s="197"/>
      <c r="R944" s="197"/>
      <c r="S944" s="197"/>
      <c r="T944" s="197"/>
    </row>
    <row r="945" ht="15.75" customHeight="1">
      <c r="E945" s="197"/>
      <c r="F945" s="197"/>
      <c r="G945" s="197"/>
      <c r="H945" s="197"/>
      <c r="I945" s="197"/>
      <c r="J945" s="197"/>
      <c r="K945" s="197"/>
      <c r="L945" s="197"/>
      <c r="M945" s="197"/>
      <c r="N945" s="197"/>
      <c r="O945" s="197"/>
      <c r="P945" s="197"/>
      <c r="Q945" s="197"/>
      <c r="R945" s="197"/>
      <c r="S945" s="197"/>
      <c r="T945" s="197"/>
    </row>
    <row r="946" ht="15.75" customHeight="1">
      <c r="E946" s="197"/>
      <c r="F946" s="197"/>
      <c r="G946" s="197"/>
      <c r="H946" s="197"/>
      <c r="I946" s="197"/>
      <c r="J946" s="197"/>
      <c r="K946" s="197"/>
      <c r="L946" s="197"/>
      <c r="M946" s="197"/>
      <c r="N946" s="197"/>
      <c r="O946" s="197"/>
      <c r="P946" s="197"/>
      <c r="Q946" s="197"/>
      <c r="R946" s="197"/>
      <c r="S946" s="197"/>
      <c r="T946" s="197"/>
    </row>
    <row r="947" ht="15.75" customHeight="1">
      <c r="E947" s="197"/>
      <c r="F947" s="197"/>
      <c r="G947" s="197"/>
      <c r="H947" s="197"/>
      <c r="I947" s="197"/>
      <c r="J947" s="197"/>
      <c r="K947" s="197"/>
      <c r="L947" s="197"/>
      <c r="M947" s="197"/>
      <c r="N947" s="197"/>
      <c r="O947" s="197"/>
      <c r="P947" s="197"/>
      <c r="Q947" s="197"/>
      <c r="R947" s="197"/>
      <c r="S947" s="197"/>
      <c r="T947" s="197"/>
    </row>
    <row r="948" ht="15.75" customHeight="1">
      <c r="E948" s="197"/>
      <c r="F948" s="197"/>
      <c r="G948" s="197"/>
      <c r="H948" s="197"/>
      <c r="I948" s="197"/>
      <c r="J948" s="197"/>
      <c r="K948" s="197"/>
      <c r="L948" s="197"/>
      <c r="M948" s="197"/>
      <c r="N948" s="197"/>
      <c r="O948" s="197"/>
      <c r="P948" s="197"/>
      <c r="Q948" s="197"/>
      <c r="R948" s="197"/>
      <c r="S948" s="197"/>
      <c r="T948" s="197"/>
    </row>
    <row r="949" ht="15.75" customHeight="1">
      <c r="E949" s="197"/>
      <c r="F949" s="197"/>
      <c r="G949" s="197"/>
      <c r="H949" s="197"/>
      <c r="I949" s="197"/>
      <c r="J949" s="197"/>
      <c r="K949" s="197"/>
      <c r="L949" s="197"/>
      <c r="M949" s="197"/>
      <c r="N949" s="197"/>
      <c r="O949" s="197"/>
      <c r="P949" s="197"/>
      <c r="Q949" s="197"/>
      <c r="R949" s="197"/>
      <c r="S949" s="197"/>
      <c r="T949" s="197"/>
    </row>
    <row r="950" ht="15.75" customHeight="1">
      <c r="E950" s="197"/>
      <c r="F950" s="197"/>
      <c r="G950" s="197"/>
      <c r="H950" s="197"/>
      <c r="I950" s="197"/>
      <c r="J950" s="197"/>
      <c r="K950" s="197"/>
      <c r="L950" s="197"/>
      <c r="M950" s="197"/>
      <c r="N950" s="197"/>
      <c r="O950" s="197"/>
      <c r="P950" s="197"/>
      <c r="Q950" s="197"/>
      <c r="R950" s="197"/>
      <c r="S950" s="197"/>
      <c r="T950" s="197"/>
    </row>
    <row r="951" ht="15.75" customHeight="1">
      <c r="E951" s="197"/>
      <c r="F951" s="197"/>
      <c r="G951" s="197"/>
      <c r="H951" s="197"/>
      <c r="I951" s="197"/>
      <c r="J951" s="197"/>
      <c r="K951" s="197"/>
      <c r="L951" s="197"/>
      <c r="M951" s="197"/>
      <c r="N951" s="197"/>
      <c r="O951" s="197"/>
      <c r="P951" s="197"/>
      <c r="Q951" s="197"/>
      <c r="R951" s="197"/>
      <c r="S951" s="197"/>
      <c r="T951" s="197"/>
    </row>
    <row r="952" ht="15.75" customHeight="1">
      <c r="E952" s="197"/>
      <c r="F952" s="197"/>
      <c r="G952" s="197"/>
      <c r="H952" s="197"/>
      <c r="I952" s="197"/>
      <c r="J952" s="197"/>
      <c r="K952" s="197"/>
      <c r="L952" s="197"/>
      <c r="M952" s="197"/>
      <c r="N952" s="197"/>
      <c r="O952" s="197"/>
      <c r="P952" s="197"/>
      <c r="Q952" s="197"/>
      <c r="R952" s="197"/>
      <c r="S952" s="197"/>
      <c r="T952" s="197"/>
    </row>
    <row r="953" ht="15.75" customHeight="1">
      <c r="E953" s="197"/>
      <c r="F953" s="197"/>
      <c r="G953" s="197"/>
      <c r="H953" s="197"/>
      <c r="I953" s="197"/>
      <c r="J953" s="197"/>
      <c r="K953" s="197"/>
      <c r="L953" s="197"/>
      <c r="M953" s="197"/>
      <c r="N953" s="197"/>
      <c r="O953" s="197"/>
      <c r="P953" s="197"/>
      <c r="Q953" s="197"/>
      <c r="R953" s="197"/>
      <c r="S953" s="197"/>
      <c r="T953" s="197"/>
    </row>
    <row r="954" ht="15.75" customHeight="1">
      <c r="E954" s="197"/>
      <c r="F954" s="197"/>
      <c r="G954" s="197"/>
      <c r="H954" s="197"/>
      <c r="I954" s="197"/>
      <c r="J954" s="197"/>
      <c r="K954" s="197"/>
      <c r="L954" s="197"/>
      <c r="M954" s="197"/>
      <c r="N954" s="197"/>
      <c r="O954" s="197"/>
      <c r="P954" s="197"/>
      <c r="Q954" s="197"/>
      <c r="R954" s="197"/>
      <c r="S954" s="197"/>
      <c r="T954" s="197"/>
    </row>
    <row r="955" ht="15.75" customHeight="1">
      <c r="E955" s="197"/>
      <c r="F955" s="197"/>
      <c r="G955" s="197"/>
      <c r="H955" s="197"/>
      <c r="I955" s="197"/>
      <c r="J955" s="197"/>
      <c r="K955" s="197"/>
      <c r="L955" s="197"/>
      <c r="M955" s="197"/>
      <c r="N955" s="197"/>
      <c r="O955" s="197"/>
      <c r="P955" s="197"/>
      <c r="Q955" s="197"/>
      <c r="R955" s="197"/>
      <c r="S955" s="197"/>
      <c r="T955" s="197"/>
    </row>
    <row r="956" ht="15.75" customHeight="1">
      <c r="E956" s="197"/>
      <c r="F956" s="197"/>
      <c r="G956" s="197"/>
      <c r="H956" s="197"/>
      <c r="I956" s="197"/>
      <c r="J956" s="197"/>
      <c r="K956" s="197"/>
      <c r="L956" s="197"/>
      <c r="M956" s="197"/>
      <c r="N956" s="197"/>
      <c r="O956" s="197"/>
      <c r="P956" s="197"/>
      <c r="Q956" s="197"/>
      <c r="R956" s="197"/>
      <c r="S956" s="197"/>
      <c r="T956" s="197"/>
    </row>
    <row r="957" ht="15.75" customHeight="1">
      <c r="E957" s="197"/>
      <c r="F957" s="197"/>
      <c r="G957" s="197"/>
      <c r="H957" s="197"/>
      <c r="I957" s="197"/>
      <c r="J957" s="197"/>
      <c r="K957" s="197"/>
      <c r="L957" s="197"/>
      <c r="M957" s="197"/>
      <c r="N957" s="197"/>
      <c r="O957" s="197"/>
      <c r="P957" s="197"/>
      <c r="Q957" s="197"/>
      <c r="R957" s="197"/>
      <c r="S957" s="197"/>
      <c r="T957" s="197"/>
    </row>
    <row r="958" ht="15.75" customHeight="1">
      <c r="E958" s="197"/>
      <c r="F958" s="197"/>
      <c r="G958" s="197"/>
      <c r="H958" s="197"/>
      <c r="I958" s="197"/>
      <c r="J958" s="197"/>
      <c r="K958" s="197"/>
      <c r="L958" s="197"/>
      <c r="M958" s="197"/>
      <c r="N958" s="197"/>
      <c r="O958" s="197"/>
      <c r="P958" s="197"/>
      <c r="Q958" s="197"/>
      <c r="R958" s="197"/>
      <c r="S958" s="197"/>
      <c r="T958" s="197"/>
    </row>
    <row r="959" ht="15.75" customHeight="1">
      <c r="E959" s="197"/>
      <c r="F959" s="197"/>
      <c r="G959" s="197"/>
      <c r="H959" s="197"/>
      <c r="I959" s="197"/>
      <c r="J959" s="197"/>
      <c r="K959" s="197"/>
      <c r="L959" s="197"/>
      <c r="M959" s="197"/>
      <c r="N959" s="197"/>
      <c r="O959" s="197"/>
      <c r="P959" s="197"/>
      <c r="Q959" s="197"/>
      <c r="R959" s="197"/>
      <c r="S959" s="197"/>
      <c r="T959" s="197"/>
    </row>
    <row r="960" ht="15.75" customHeight="1">
      <c r="E960" s="197"/>
      <c r="F960" s="197"/>
      <c r="G960" s="197"/>
      <c r="H960" s="197"/>
      <c r="I960" s="197"/>
      <c r="J960" s="197"/>
      <c r="K960" s="197"/>
      <c r="L960" s="197"/>
      <c r="M960" s="197"/>
      <c r="N960" s="197"/>
      <c r="O960" s="197"/>
      <c r="P960" s="197"/>
      <c r="Q960" s="197"/>
      <c r="R960" s="197"/>
      <c r="S960" s="197"/>
      <c r="T960" s="197"/>
    </row>
    <row r="961" ht="15.75" customHeight="1">
      <c r="E961" s="197"/>
      <c r="F961" s="197"/>
      <c r="G961" s="197"/>
      <c r="H961" s="197"/>
      <c r="I961" s="197"/>
      <c r="J961" s="197"/>
      <c r="K961" s="197"/>
      <c r="L961" s="197"/>
      <c r="M961" s="197"/>
      <c r="N961" s="197"/>
      <c r="O961" s="197"/>
      <c r="P961" s="197"/>
      <c r="Q961" s="197"/>
      <c r="R961" s="197"/>
      <c r="S961" s="197"/>
      <c r="T961" s="197"/>
    </row>
    <row r="962" ht="15.75" customHeight="1">
      <c r="E962" s="197"/>
      <c r="F962" s="197"/>
      <c r="G962" s="197"/>
      <c r="H962" s="197"/>
      <c r="I962" s="197"/>
      <c r="J962" s="197"/>
      <c r="K962" s="197"/>
      <c r="L962" s="197"/>
      <c r="M962" s="197"/>
      <c r="N962" s="197"/>
      <c r="O962" s="197"/>
      <c r="P962" s="197"/>
      <c r="Q962" s="197"/>
      <c r="R962" s="197"/>
      <c r="S962" s="197"/>
      <c r="T962" s="197"/>
    </row>
    <row r="963" ht="15.75" customHeight="1">
      <c r="E963" s="197"/>
      <c r="F963" s="197"/>
      <c r="G963" s="197"/>
      <c r="H963" s="197"/>
      <c r="I963" s="197"/>
      <c r="J963" s="197"/>
      <c r="K963" s="197"/>
      <c r="L963" s="197"/>
      <c r="M963" s="197"/>
      <c r="N963" s="197"/>
      <c r="O963" s="197"/>
      <c r="P963" s="197"/>
      <c r="Q963" s="197"/>
      <c r="R963" s="197"/>
      <c r="S963" s="197"/>
      <c r="T963" s="197"/>
    </row>
    <row r="964" ht="15.75" customHeight="1">
      <c r="E964" s="197"/>
      <c r="F964" s="197"/>
      <c r="G964" s="197"/>
      <c r="H964" s="197"/>
      <c r="I964" s="197"/>
      <c r="J964" s="197"/>
      <c r="K964" s="197"/>
      <c r="L964" s="197"/>
      <c r="M964" s="197"/>
      <c r="N964" s="197"/>
      <c r="O964" s="197"/>
      <c r="P964" s="197"/>
      <c r="Q964" s="197"/>
      <c r="R964" s="197"/>
      <c r="S964" s="197"/>
      <c r="T964" s="197"/>
    </row>
    <row r="965" ht="15.75" customHeight="1">
      <c r="E965" s="197"/>
      <c r="F965" s="197"/>
      <c r="G965" s="197"/>
      <c r="H965" s="197"/>
      <c r="I965" s="197"/>
      <c r="J965" s="197"/>
      <c r="K965" s="197"/>
      <c r="L965" s="197"/>
      <c r="M965" s="197"/>
      <c r="N965" s="197"/>
      <c r="O965" s="197"/>
      <c r="P965" s="197"/>
      <c r="Q965" s="197"/>
      <c r="R965" s="197"/>
      <c r="S965" s="197"/>
      <c r="T965" s="197"/>
    </row>
    <row r="966" ht="15.75" customHeight="1">
      <c r="E966" s="197"/>
      <c r="F966" s="197"/>
      <c r="G966" s="197"/>
      <c r="H966" s="197"/>
      <c r="I966" s="197"/>
      <c r="J966" s="197"/>
      <c r="K966" s="197"/>
      <c r="L966" s="197"/>
      <c r="M966" s="197"/>
      <c r="N966" s="197"/>
      <c r="O966" s="197"/>
      <c r="P966" s="197"/>
      <c r="Q966" s="197"/>
      <c r="R966" s="197"/>
      <c r="S966" s="197"/>
      <c r="T966" s="197"/>
    </row>
    <row r="967" ht="15.75" customHeight="1">
      <c r="E967" s="197"/>
      <c r="F967" s="197"/>
      <c r="G967" s="197"/>
      <c r="H967" s="197"/>
      <c r="I967" s="197"/>
      <c r="J967" s="197"/>
      <c r="K967" s="197"/>
      <c r="L967" s="197"/>
      <c r="M967" s="197"/>
      <c r="N967" s="197"/>
      <c r="O967" s="197"/>
      <c r="P967" s="197"/>
      <c r="Q967" s="197"/>
      <c r="R967" s="197"/>
      <c r="S967" s="197"/>
      <c r="T967" s="197"/>
    </row>
    <row r="968" ht="15.75" customHeight="1">
      <c r="E968" s="197"/>
      <c r="F968" s="197"/>
      <c r="G968" s="197"/>
      <c r="H968" s="197"/>
      <c r="I968" s="197"/>
      <c r="J968" s="197"/>
      <c r="K968" s="197"/>
      <c r="L968" s="197"/>
      <c r="M968" s="197"/>
      <c r="N968" s="197"/>
      <c r="O968" s="197"/>
      <c r="P968" s="197"/>
      <c r="Q968" s="197"/>
      <c r="R968" s="197"/>
      <c r="S968" s="197"/>
      <c r="T968" s="197"/>
    </row>
    <row r="969" ht="15.75" customHeight="1">
      <c r="E969" s="197"/>
      <c r="F969" s="197"/>
      <c r="G969" s="197"/>
      <c r="H969" s="197"/>
      <c r="I969" s="197"/>
      <c r="J969" s="197"/>
      <c r="K969" s="197"/>
      <c r="L969" s="197"/>
      <c r="M969" s="197"/>
      <c r="N969" s="197"/>
      <c r="O969" s="197"/>
      <c r="P969" s="197"/>
      <c r="Q969" s="197"/>
      <c r="R969" s="197"/>
      <c r="S969" s="197"/>
      <c r="T969" s="197"/>
    </row>
    <row r="970" ht="15.75" customHeight="1">
      <c r="E970" s="197"/>
      <c r="F970" s="197"/>
      <c r="G970" s="197"/>
      <c r="H970" s="197"/>
      <c r="I970" s="197"/>
      <c r="J970" s="197"/>
      <c r="K970" s="197"/>
      <c r="L970" s="197"/>
      <c r="M970" s="197"/>
      <c r="N970" s="197"/>
      <c r="O970" s="197"/>
      <c r="P970" s="197"/>
      <c r="Q970" s="197"/>
      <c r="R970" s="197"/>
      <c r="S970" s="197"/>
      <c r="T970" s="197"/>
    </row>
    <row r="971" ht="15.75" customHeight="1">
      <c r="E971" s="197"/>
      <c r="F971" s="197"/>
      <c r="G971" s="197"/>
      <c r="H971" s="197"/>
      <c r="I971" s="197"/>
      <c r="J971" s="197"/>
      <c r="K971" s="197"/>
      <c r="L971" s="197"/>
      <c r="M971" s="197"/>
      <c r="N971" s="197"/>
      <c r="O971" s="197"/>
      <c r="P971" s="197"/>
      <c r="Q971" s="197"/>
      <c r="R971" s="197"/>
      <c r="S971" s="197"/>
      <c r="T971" s="197"/>
    </row>
    <row r="972" ht="15.75" customHeight="1">
      <c r="E972" s="197"/>
      <c r="F972" s="197"/>
      <c r="G972" s="197"/>
      <c r="H972" s="197"/>
      <c r="I972" s="197"/>
      <c r="J972" s="197"/>
      <c r="K972" s="197"/>
      <c r="L972" s="197"/>
      <c r="M972" s="197"/>
      <c r="N972" s="197"/>
      <c r="O972" s="197"/>
      <c r="P972" s="197"/>
      <c r="Q972" s="197"/>
      <c r="R972" s="197"/>
      <c r="S972" s="197"/>
      <c r="T972" s="197"/>
    </row>
    <row r="973" ht="15.75" customHeight="1">
      <c r="E973" s="197"/>
      <c r="F973" s="197"/>
      <c r="G973" s="197"/>
      <c r="H973" s="197"/>
      <c r="I973" s="197"/>
      <c r="J973" s="197"/>
      <c r="K973" s="197"/>
      <c r="L973" s="197"/>
      <c r="M973" s="197"/>
      <c r="N973" s="197"/>
      <c r="O973" s="197"/>
      <c r="P973" s="197"/>
      <c r="Q973" s="197"/>
      <c r="R973" s="197"/>
      <c r="S973" s="197"/>
      <c r="T973" s="197"/>
    </row>
    <row r="974" ht="15.75" customHeight="1">
      <c r="E974" s="197"/>
      <c r="F974" s="197"/>
      <c r="G974" s="197"/>
      <c r="H974" s="197"/>
      <c r="I974" s="197"/>
      <c r="J974" s="197"/>
      <c r="K974" s="197"/>
      <c r="L974" s="197"/>
      <c r="M974" s="197"/>
      <c r="N974" s="197"/>
      <c r="O974" s="197"/>
      <c r="P974" s="197"/>
      <c r="Q974" s="197"/>
      <c r="R974" s="197"/>
      <c r="S974" s="197"/>
      <c r="T974" s="197"/>
    </row>
    <row r="975" ht="15.75" customHeight="1">
      <c r="E975" s="197"/>
      <c r="F975" s="197"/>
      <c r="G975" s="197"/>
      <c r="H975" s="197"/>
      <c r="I975" s="197"/>
      <c r="J975" s="197"/>
      <c r="K975" s="197"/>
      <c r="L975" s="197"/>
      <c r="M975" s="197"/>
      <c r="N975" s="197"/>
      <c r="O975" s="197"/>
      <c r="P975" s="197"/>
      <c r="Q975" s="197"/>
      <c r="R975" s="197"/>
      <c r="S975" s="197"/>
      <c r="T975" s="197"/>
    </row>
    <row r="976" ht="15.75" customHeight="1">
      <c r="E976" s="197"/>
      <c r="F976" s="197"/>
      <c r="G976" s="197"/>
      <c r="H976" s="197"/>
      <c r="I976" s="197"/>
      <c r="J976" s="197"/>
      <c r="K976" s="197"/>
      <c r="L976" s="197"/>
      <c r="M976" s="197"/>
      <c r="N976" s="197"/>
      <c r="O976" s="197"/>
      <c r="P976" s="197"/>
      <c r="Q976" s="197"/>
      <c r="R976" s="197"/>
      <c r="S976" s="197"/>
      <c r="T976" s="197"/>
    </row>
    <row r="977" ht="15.75" customHeight="1">
      <c r="E977" s="197"/>
      <c r="F977" s="197"/>
      <c r="G977" s="197"/>
      <c r="H977" s="197"/>
      <c r="I977" s="197"/>
      <c r="J977" s="197"/>
      <c r="K977" s="197"/>
      <c r="L977" s="197"/>
      <c r="M977" s="197"/>
      <c r="N977" s="197"/>
      <c r="O977" s="197"/>
      <c r="P977" s="197"/>
      <c r="Q977" s="197"/>
      <c r="R977" s="197"/>
      <c r="S977" s="197"/>
      <c r="T977" s="197"/>
    </row>
    <row r="978" ht="15.75" customHeight="1">
      <c r="E978" s="197"/>
      <c r="F978" s="197"/>
      <c r="G978" s="197"/>
      <c r="H978" s="197"/>
      <c r="I978" s="197"/>
      <c r="J978" s="197"/>
      <c r="K978" s="197"/>
      <c r="L978" s="197"/>
      <c r="M978" s="197"/>
      <c r="N978" s="197"/>
      <c r="O978" s="197"/>
      <c r="P978" s="197"/>
      <c r="Q978" s="197"/>
      <c r="R978" s="197"/>
      <c r="S978" s="197"/>
      <c r="T978" s="197"/>
    </row>
    <row r="979" ht="15.75" customHeight="1">
      <c r="E979" s="197"/>
      <c r="F979" s="197"/>
      <c r="G979" s="197"/>
      <c r="H979" s="197"/>
      <c r="I979" s="197"/>
      <c r="J979" s="197"/>
      <c r="K979" s="197"/>
      <c r="L979" s="197"/>
      <c r="M979" s="197"/>
      <c r="N979" s="197"/>
      <c r="O979" s="197"/>
      <c r="P979" s="197"/>
      <c r="Q979" s="197"/>
      <c r="R979" s="197"/>
      <c r="S979" s="197"/>
      <c r="T979" s="197"/>
    </row>
    <row r="980" ht="15.75" customHeight="1">
      <c r="E980" s="197"/>
      <c r="F980" s="197"/>
      <c r="G980" s="197"/>
      <c r="H980" s="197"/>
      <c r="I980" s="197"/>
      <c r="J980" s="197"/>
      <c r="K980" s="197"/>
      <c r="L980" s="197"/>
      <c r="M980" s="197"/>
      <c r="N980" s="197"/>
      <c r="O980" s="197"/>
      <c r="P980" s="197"/>
      <c r="Q980" s="197"/>
      <c r="R980" s="197"/>
      <c r="S980" s="197"/>
      <c r="T980" s="197"/>
    </row>
    <row r="981" ht="15.75" customHeight="1">
      <c r="E981" s="197"/>
      <c r="F981" s="197"/>
      <c r="G981" s="197"/>
      <c r="H981" s="197"/>
      <c r="I981" s="197"/>
      <c r="J981" s="197"/>
      <c r="K981" s="197"/>
      <c r="L981" s="197"/>
      <c r="M981" s="197"/>
      <c r="N981" s="197"/>
      <c r="O981" s="197"/>
      <c r="P981" s="197"/>
      <c r="Q981" s="197"/>
      <c r="R981" s="197"/>
      <c r="S981" s="197"/>
      <c r="T981" s="197"/>
    </row>
    <row r="982" ht="15.75" customHeight="1">
      <c r="E982" s="197"/>
      <c r="F982" s="197"/>
      <c r="G982" s="197"/>
      <c r="H982" s="197"/>
      <c r="I982" s="197"/>
      <c r="J982" s="197"/>
      <c r="K982" s="197"/>
      <c r="L982" s="197"/>
      <c r="M982" s="197"/>
      <c r="N982" s="197"/>
      <c r="O982" s="197"/>
      <c r="P982" s="197"/>
      <c r="Q982" s="197"/>
      <c r="R982" s="197"/>
      <c r="S982" s="197"/>
      <c r="T982" s="197"/>
    </row>
    <row r="983" ht="15.75" customHeight="1">
      <c r="E983" s="197"/>
      <c r="F983" s="197"/>
      <c r="G983" s="197"/>
      <c r="H983" s="197"/>
      <c r="I983" s="197"/>
      <c r="J983" s="197"/>
      <c r="K983" s="197"/>
      <c r="L983" s="197"/>
      <c r="M983" s="197"/>
      <c r="N983" s="197"/>
      <c r="O983" s="197"/>
      <c r="P983" s="197"/>
      <c r="Q983" s="197"/>
      <c r="R983" s="197"/>
      <c r="S983" s="197"/>
      <c r="T983" s="197"/>
    </row>
    <row r="984" ht="15.75" customHeight="1">
      <c r="E984" s="197"/>
      <c r="F984" s="197"/>
      <c r="G984" s="197"/>
      <c r="H984" s="197"/>
      <c r="I984" s="197"/>
      <c r="J984" s="197"/>
      <c r="K984" s="197"/>
      <c r="L984" s="197"/>
      <c r="M984" s="197"/>
      <c r="N984" s="197"/>
      <c r="O984" s="197"/>
      <c r="P984" s="197"/>
      <c r="Q984" s="197"/>
      <c r="R984" s="197"/>
      <c r="S984" s="197"/>
      <c r="T984" s="197"/>
    </row>
    <row r="985" ht="15.75" customHeight="1">
      <c r="E985" s="197"/>
      <c r="F985" s="197"/>
      <c r="G985" s="197"/>
      <c r="H985" s="197"/>
      <c r="I985" s="197"/>
      <c r="J985" s="197"/>
      <c r="K985" s="197"/>
      <c r="L985" s="197"/>
      <c r="M985" s="197"/>
      <c r="N985" s="197"/>
      <c r="O985" s="197"/>
      <c r="P985" s="197"/>
      <c r="Q985" s="197"/>
      <c r="R985" s="197"/>
      <c r="S985" s="197"/>
      <c r="T985" s="197"/>
    </row>
    <row r="986" ht="15.75" customHeight="1">
      <c r="E986" s="197"/>
      <c r="F986" s="197"/>
      <c r="G986" s="197"/>
      <c r="H986" s="197"/>
      <c r="I986" s="197"/>
      <c r="J986" s="197"/>
      <c r="K986" s="197"/>
      <c r="L986" s="197"/>
      <c r="M986" s="197"/>
      <c r="N986" s="197"/>
      <c r="O986" s="197"/>
      <c r="P986" s="197"/>
      <c r="Q986" s="197"/>
      <c r="R986" s="197"/>
      <c r="S986" s="197"/>
      <c r="T986" s="197"/>
    </row>
    <row r="987" ht="15.75" customHeight="1">
      <c r="E987" s="197"/>
      <c r="F987" s="197"/>
      <c r="G987" s="197"/>
      <c r="H987" s="197"/>
      <c r="I987" s="197"/>
      <c r="J987" s="197"/>
      <c r="K987" s="197"/>
      <c r="L987" s="197"/>
      <c r="M987" s="197"/>
      <c r="N987" s="197"/>
      <c r="O987" s="197"/>
      <c r="P987" s="197"/>
      <c r="Q987" s="197"/>
      <c r="R987" s="197"/>
      <c r="S987" s="197"/>
      <c r="T987" s="197"/>
    </row>
    <row r="988" ht="15.75" customHeight="1">
      <c r="E988" s="197"/>
      <c r="F988" s="197"/>
      <c r="G988" s="197"/>
      <c r="H988" s="197"/>
      <c r="I988" s="197"/>
      <c r="J988" s="197"/>
      <c r="K988" s="197"/>
      <c r="L988" s="197"/>
      <c r="M988" s="197"/>
      <c r="N988" s="197"/>
      <c r="O988" s="197"/>
      <c r="P988" s="197"/>
      <c r="Q988" s="197"/>
      <c r="R988" s="197"/>
      <c r="S988" s="197"/>
      <c r="T988" s="197"/>
    </row>
    <row r="989" ht="15.75" customHeight="1">
      <c r="E989" s="197"/>
      <c r="F989" s="197"/>
      <c r="G989" s="197"/>
      <c r="H989" s="197"/>
      <c r="I989" s="197"/>
      <c r="J989" s="197"/>
      <c r="K989" s="197"/>
      <c r="L989" s="197"/>
      <c r="M989" s="197"/>
      <c r="N989" s="197"/>
      <c r="O989" s="197"/>
      <c r="P989" s="197"/>
      <c r="Q989" s="197"/>
      <c r="R989" s="197"/>
      <c r="S989" s="197"/>
      <c r="T989" s="197"/>
    </row>
    <row r="990" ht="15.75" customHeight="1">
      <c r="E990" s="197"/>
      <c r="F990" s="197"/>
      <c r="G990" s="197"/>
      <c r="H990" s="197"/>
      <c r="I990" s="197"/>
      <c r="J990" s="197"/>
      <c r="K990" s="197"/>
      <c r="L990" s="197"/>
      <c r="M990" s="197"/>
      <c r="N990" s="197"/>
      <c r="O990" s="197"/>
      <c r="P990" s="197"/>
      <c r="Q990" s="197"/>
      <c r="R990" s="197"/>
      <c r="S990" s="197"/>
      <c r="T990" s="197"/>
    </row>
    <row r="991" ht="15.75" customHeight="1">
      <c r="E991" s="197"/>
      <c r="F991" s="197"/>
      <c r="G991" s="197"/>
      <c r="H991" s="197"/>
      <c r="I991" s="197"/>
      <c r="J991" s="197"/>
      <c r="K991" s="197"/>
      <c r="L991" s="197"/>
      <c r="M991" s="197"/>
      <c r="N991" s="197"/>
      <c r="O991" s="197"/>
      <c r="P991" s="197"/>
      <c r="Q991" s="197"/>
      <c r="R991" s="197"/>
      <c r="S991" s="197"/>
      <c r="T991" s="197"/>
    </row>
    <row r="992" ht="15.75" customHeight="1">
      <c r="E992" s="197"/>
      <c r="F992" s="197"/>
      <c r="G992" s="197"/>
      <c r="H992" s="197"/>
      <c r="I992" s="197"/>
      <c r="J992" s="197"/>
      <c r="K992" s="197"/>
      <c r="L992" s="197"/>
      <c r="M992" s="197"/>
      <c r="N992" s="197"/>
      <c r="O992" s="197"/>
      <c r="P992" s="197"/>
      <c r="Q992" s="197"/>
      <c r="R992" s="197"/>
      <c r="S992" s="197"/>
      <c r="T992" s="197"/>
    </row>
    <row r="993" ht="15.75" customHeight="1">
      <c r="E993" s="197"/>
      <c r="F993" s="197"/>
      <c r="G993" s="197"/>
      <c r="H993" s="197"/>
      <c r="I993" s="197"/>
      <c r="J993" s="197"/>
      <c r="K993" s="197"/>
      <c r="L993" s="197"/>
      <c r="M993" s="197"/>
      <c r="N993" s="197"/>
      <c r="O993" s="197"/>
      <c r="P993" s="197"/>
      <c r="Q993" s="197"/>
      <c r="R993" s="197"/>
      <c r="S993" s="197"/>
      <c r="T993" s="197"/>
    </row>
    <row r="994" ht="15.75" customHeight="1">
      <c r="E994" s="197"/>
      <c r="F994" s="197"/>
      <c r="G994" s="197"/>
      <c r="H994" s="197"/>
      <c r="I994" s="197"/>
      <c r="J994" s="197"/>
      <c r="K994" s="197"/>
      <c r="L994" s="197"/>
      <c r="M994" s="197"/>
      <c r="N994" s="197"/>
      <c r="O994" s="197"/>
      <c r="P994" s="197"/>
      <c r="Q994" s="197"/>
      <c r="R994" s="197"/>
      <c r="S994" s="197"/>
      <c r="T994" s="197"/>
    </row>
    <row r="995" ht="15.75" customHeight="1">
      <c r="E995" s="197"/>
      <c r="F995" s="197"/>
      <c r="G995" s="197"/>
      <c r="H995" s="197"/>
      <c r="I995" s="197"/>
      <c r="J995" s="197"/>
      <c r="K995" s="197"/>
      <c r="L995" s="197"/>
      <c r="M995" s="197"/>
      <c r="N995" s="197"/>
      <c r="O995" s="197"/>
      <c r="P995" s="197"/>
      <c r="Q995" s="197"/>
      <c r="R995" s="197"/>
      <c r="S995" s="197"/>
      <c r="T995" s="197"/>
    </row>
    <row r="996" ht="15.75" customHeight="1">
      <c r="E996" s="197"/>
      <c r="F996" s="197"/>
      <c r="G996" s="197"/>
      <c r="H996" s="197"/>
      <c r="I996" s="197"/>
      <c r="J996" s="197"/>
      <c r="K996" s="197"/>
      <c r="L996" s="197"/>
      <c r="M996" s="197"/>
      <c r="N996" s="197"/>
      <c r="O996" s="197"/>
      <c r="P996" s="197"/>
      <c r="Q996" s="197"/>
      <c r="R996" s="197"/>
      <c r="S996" s="197"/>
      <c r="T996" s="197"/>
    </row>
  </sheetData>
  <mergeCells count="35">
    <mergeCell ref="S2:T2"/>
    <mergeCell ref="U2:V2"/>
    <mergeCell ref="W2:X2"/>
    <mergeCell ref="Y2:Z2"/>
    <mergeCell ref="AA2:AB2"/>
    <mergeCell ref="AC2:AD2"/>
    <mergeCell ref="E1:T1"/>
    <mergeCell ref="U1:AD1"/>
    <mergeCell ref="E2:F2"/>
    <mergeCell ref="G2:H2"/>
    <mergeCell ref="I2:J2"/>
    <mergeCell ref="K2:L2"/>
    <mergeCell ref="M2:N2"/>
    <mergeCell ref="O2:P2"/>
    <mergeCell ref="Q2:R2"/>
    <mergeCell ref="A7:A10"/>
    <mergeCell ref="B7:B10"/>
    <mergeCell ref="A11:A14"/>
    <mergeCell ref="B11:B14"/>
    <mergeCell ref="A15:A18"/>
    <mergeCell ref="B61:B63"/>
    <mergeCell ref="B64:B66"/>
    <mergeCell ref="B67:B69"/>
    <mergeCell ref="B70:B72"/>
    <mergeCell ref="B73:B75"/>
    <mergeCell ref="B76:B78"/>
    <mergeCell ref="B79:B81"/>
    <mergeCell ref="B82:B84"/>
    <mergeCell ref="B15:B18"/>
    <mergeCell ref="B43:B45"/>
    <mergeCell ref="B46:B48"/>
    <mergeCell ref="B49:B51"/>
    <mergeCell ref="B52:B54"/>
    <mergeCell ref="B55:B57"/>
    <mergeCell ref="B58:B60"/>
  </mergeCells>
  <printOptions gridLines="1" horizontalCentered="1"/>
  <pageMargins bottom="0.75" footer="0.0" header="0.0" left="0.25" right="0.25" top="0.75"/>
  <pageSetup paperSize="8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6.86"/>
    <col customWidth="1" min="3" max="4" width="8.71"/>
    <col customWidth="1" min="5" max="5" width="19.14"/>
    <col customWidth="1" min="6" max="6" width="59.57"/>
    <col customWidth="1" min="7" max="7" width="16.14"/>
    <col customWidth="1" min="8" max="26" width="8.71"/>
  </cols>
  <sheetData>
    <row r="1" ht="31.5" customHeight="1">
      <c r="A1" s="198" t="s">
        <v>152</v>
      </c>
      <c r="B1" s="198" t="s">
        <v>154</v>
      </c>
      <c r="C1" s="198" t="s">
        <v>213</v>
      </c>
      <c r="D1" s="198" t="s">
        <v>214</v>
      </c>
      <c r="E1" s="198" t="s">
        <v>215</v>
      </c>
      <c r="F1" s="198" t="s">
        <v>216</v>
      </c>
      <c r="G1" s="198" t="s">
        <v>217</v>
      </c>
      <c r="H1" s="198" t="s">
        <v>218</v>
      </c>
      <c r="I1" s="198" t="s">
        <v>219</v>
      </c>
      <c r="J1" s="198" t="s">
        <v>220</v>
      </c>
      <c r="K1" s="198" t="s">
        <v>221</v>
      </c>
      <c r="L1" s="198" t="s">
        <v>222</v>
      </c>
      <c r="M1" s="198" t="s">
        <v>158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19.5" customHeight="1">
      <c r="A2" s="199" t="s">
        <v>223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43"/>
      <c r="N2" s="200"/>
      <c r="O2" s="200"/>
      <c r="P2" s="200"/>
      <c r="Q2" s="200"/>
      <c r="R2" s="200"/>
      <c r="S2" s="200"/>
      <c r="T2" s="9"/>
      <c r="U2" s="9"/>
      <c r="V2" s="9"/>
      <c r="W2" s="9"/>
      <c r="X2" s="9"/>
      <c r="Y2" s="9"/>
      <c r="Z2" s="9"/>
    </row>
    <row r="3" ht="19.5" customHeight="1">
      <c r="A3" s="201">
        <v>1.0</v>
      </c>
      <c r="B3" s="202" t="s">
        <v>176</v>
      </c>
      <c r="C3" s="201" t="s">
        <v>224</v>
      </c>
      <c r="D3" s="201" t="s">
        <v>225</v>
      </c>
      <c r="E3" s="201" t="s">
        <v>226</v>
      </c>
      <c r="F3" s="203" t="s">
        <v>227</v>
      </c>
      <c r="G3" s="204"/>
      <c r="H3" s="204"/>
      <c r="I3" s="204"/>
      <c r="J3" s="205"/>
      <c r="K3" s="202"/>
      <c r="L3" s="206"/>
      <c r="M3" s="204"/>
      <c r="N3" s="207"/>
      <c r="O3" s="207"/>
      <c r="P3" s="207"/>
      <c r="Q3" s="207"/>
      <c r="R3" s="207"/>
      <c r="S3" s="207"/>
      <c r="T3" s="9"/>
      <c r="U3" s="9"/>
      <c r="V3" s="9"/>
      <c r="W3" s="9"/>
      <c r="X3" s="9"/>
      <c r="Y3" s="9"/>
      <c r="Z3" s="9"/>
    </row>
    <row r="4" ht="19.5" customHeight="1">
      <c r="A4" s="201">
        <v>2.0</v>
      </c>
      <c r="B4" s="202" t="s">
        <v>176</v>
      </c>
      <c r="C4" s="201" t="s">
        <v>224</v>
      </c>
      <c r="D4" s="201" t="s">
        <v>225</v>
      </c>
      <c r="E4" s="201" t="s">
        <v>228</v>
      </c>
      <c r="F4" s="203" t="s">
        <v>229</v>
      </c>
      <c r="G4" s="204"/>
      <c r="H4" s="204"/>
      <c r="I4" s="204"/>
      <c r="J4" s="205"/>
      <c r="K4" s="202"/>
      <c r="L4" s="206"/>
      <c r="M4" s="204"/>
      <c r="N4" s="207"/>
      <c r="O4" s="207"/>
      <c r="P4" s="207"/>
      <c r="Q4" s="207"/>
      <c r="R4" s="207"/>
      <c r="S4" s="207"/>
      <c r="T4" s="9"/>
      <c r="U4" s="9"/>
      <c r="V4" s="9"/>
      <c r="W4" s="9"/>
      <c r="X4" s="9"/>
      <c r="Y4" s="9"/>
      <c r="Z4" s="9"/>
    </row>
    <row r="5" ht="19.5" customHeight="1">
      <c r="A5" s="201">
        <v>3.0</v>
      </c>
      <c r="B5" s="202" t="s">
        <v>176</v>
      </c>
      <c r="C5" s="201" t="s">
        <v>224</v>
      </c>
      <c r="D5" s="201" t="s">
        <v>225</v>
      </c>
      <c r="E5" s="201" t="s">
        <v>230</v>
      </c>
      <c r="F5" s="203" t="s">
        <v>231</v>
      </c>
      <c r="G5" s="204"/>
      <c r="H5" s="204"/>
      <c r="I5" s="204"/>
      <c r="J5" s="205"/>
      <c r="K5" s="202"/>
      <c r="L5" s="206"/>
      <c r="M5" s="204"/>
      <c r="N5" s="207"/>
      <c r="O5" s="207"/>
      <c r="P5" s="207"/>
      <c r="Q5" s="207"/>
      <c r="R5" s="207"/>
      <c r="S5" s="207"/>
      <c r="T5" s="9"/>
      <c r="U5" s="9"/>
      <c r="V5" s="9"/>
      <c r="W5" s="9"/>
      <c r="X5" s="9"/>
      <c r="Y5" s="9"/>
      <c r="Z5" s="9"/>
    </row>
    <row r="6" ht="19.5" customHeight="1">
      <c r="A6" s="201">
        <v>4.0</v>
      </c>
      <c r="B6" s="202" t="s">
        <v>176</v>
      </c>
      <c r="C6" s="201" t="s">
        <v>224</v>
      </c>
      <c r="D6" s="201" t="s">
        <v>225</v>
      </c>
      <c r="E6" s="201" t="s">
        <v>232</v>
      </c>
      <c r="F6" s="203" t="s">
        <v>233</v>
      </c>
      <c r="G6" s="204"/>
      <c r="H6" s="204"/>
      <c r="I6" s="204"/>
      <c r="J6" s="205"/>
      <c r="K6" s="202"/>
      <c r="L6" s="206"/>
      <c r="M6" s="204"/>
      <c r="N6" s="207"/>
      <c r="O6" s="207"/>
      <c r="P6" s="207"/>
      <c r="Q6" s="207"/>
      <c r="R6" s="207"/>
      <c r="S6" s="207"/>
      <c r="T6" s="9"/>
      <c r="U6" s="9"/>
      <c r="V6" s="9"/>
      <c r="W6" s="9"/>
      <c r="X6" s="9"/>
      <c r="Y6" s="9"/>
      <c r="Z6" s="9"/>
    </row>
    <row r="7" ht="19.5" customHeight="1">
      <c r="A7" s="201">
        <v>5.0</v>
      </c>
      <c r="B7" s="202" t="s">
        <v>176</v>
      </c>
      <c r="C7" s="201" t="s">
        <v>224</v>
      </c>
      <c r="D7" s="201" t="s">
        <v>225</v>
      </c>
      <c r="E7" s="201" t="s">
        <v>232</v>
      </c>
      <c r="F7" s="203" t="s">
        <v>234</v>
      </c>
      <c r="G7" s="204"/>
      <c r="H7" s="204"/>
      <c r="I7" s="204"/>
      <c r="J7" s="205"/>
      <c r="K7" s="202"/>
      <c r="L7" s="206"/>
      <c r="M7" s="204"/>
      <c r="N7" s="207"/>
      <c r="O7" s="207"/>
      <c r="P7" s="207"/>
      <c r="Q7" s="207"/>
      <c r="R7" s="207"/>
      <c r="S7" s="207"/>
      <c r="T7" s="9"/>
      <c r="U7" s="9"/>
      <c r="V7" s="9"/>
      <c r="W7" s="9"/>
      <c r="X7" s="9"/>
      <c r="Y7" s="9"/>
      <c r="Z7" s="9"/>
    </row>
    <row r="8" ht="19.5" customHeight="1">
      <c r="A8" s="201">
        <v>6.0</v>
      </c>
      <c r="B8" s="202" t="s">
        <v>176</v>
      </c>
      <c r="C8" s="201" t="s">
        <v>224</v>
      </c>
      <c r="D8" s="201" t="s">
        <v>225</v>
      </c>
      <c r="E8" s="201" t="s">
        <v>232</v>
      </c>
      <c r="F8" s="203" t="s">
        <v>235</v>
      </c>
      <c r="G8" s="204"/>
      <c r="H8" s="204"/>
      <c r="I8" s="204"/>
      <c r="J8" s="205"/>
      <c r="K8" s="202"/>
      <c r="L8" s="206"/>
      <c r="M8" s="204"/>
      <c r="N8" s="207"/>
      <c r="O8" s="207"/>
      <c r="P8" s="207"/>
      <c r="Q8" s="207"/>
      <c r="R8" s="207"/>
      <c r="S8" s="207"/>
      <c r="T8" s="9"/>
      <c r="U8" s="9"/>
      <c r="V8" s="9"/>
      <c r="W8" s="9"/>
      <c r="X8" s="9"/>
      <c r="Y8" s="9"/>
      <c r="Z8" s="9"/>
    </row>
    <row r="9" ht="19.5" customHeight="1">
      <c r="A9" s="208"/>
      <c r="B9" s="209"/>
      <c r="C9" s="208"/>
      <c r="D9" s="208"/>
      <c r="E9" s="208"/>
      <c r="F9" s="210"/>
      <c r="G9" s="211"/>
      <c r="H9" s="211"/>
      <c r="I9" s="211"/>
      <c r="J9" s="211"/>
      <c r="K9" s="211"/>
      <c r="L9" s="212"/>
      <c r="M9" s="209"/>
      <c r="N9" s="200"/>
      <c r="O9" s="200"/>
      <c r="P9" s="200"/>
      <c r="Q9" s="200"/>
      <c r="R9" s="200"/>
      <c r="S9" s="200"/>
      <c r="T9" s="9"/>
      <c r="U9" s="9"/>
      <c r="V9" s="9"/>
      <c r="W9" s="9"/>
      <c r="X9" s="9"/>
      <c r="Y9" s="9"/>
      <c r="Z9" s="9"/>
    </row>
    <row r="10" ht="19.5" customHeight="1">
      <c r="A10" s="201">
        <f>A8+1</f>
        <v>7</v>
      </c>
      <c r="B10" s="202" t="s">
        <v>175</v>
      </c>
      <c r="C10" s="201" t="s">
        <v>224</v>
      </c>
      <c r="D10" s="201" t="s">
        <v>225</v>
      </c>
      <c r="E10" s="201" t="s">
        <v>236</v>
      </c>
      <c r="F10" s="203" t="s">
        <v>237</v>
      </c>
      <c r="G10" s="204"/>
      <c r="H10" s="204"/>
      <c r="I10" s="204"/>
      <c r="J10" s="205"/>
      <c r="K10" s="202"/>
      <c r="L10" s="206"/>
      <c r="M10" s="204"/>
      <c r="N10" s="207"/>
      <c r="O10" s="207"/>
      <c r="P10" s="207"/>
      <c r="Q10" s="207"/>
      <c r="R10" s="207"/>
      <c r="S10" s="207"/>
      <c r="T10" s="9"/>
      <c r="U10" s="9"/>
      <c r="V10" s="9"/>
      <c r="W10" s="9"/>
      <c r="X10" s="9"/>
      <c r="Y10" s="9"/>
      <c r="Z10" s="9"/>
    </row>
    <row r="11" ht="19.5" customHeight="1">
      <c r="A11" s="201">
        <v>8.0</v>
      </c>
      <c r="B11" s="202" t="s">
        <v>175</v>
      </c>
      <c r="C11" s="201" t="s">
        <v>224</v>
      </c>
      <c r="D11" s="201" t="s">
        <v>225</v>
      </c>
      <c r="E11" s="201" t="s">
        <v>226</v>
      </c>
      <c r="F11" s="203" t="s">
        <v>238</v>
      </c>
      <c r="G11" s="204"/>
      <c r="H11" s="204"/>
      <c r="I11" s="204"/>
      <c r="J11" s="205"/>
      <c r="K11" s="202"/>
      <c r="L11" s="206"/>
      <c r="M11" s="204"/>
      <c r="N11" s="207"/>
      <c r="O11" s="207"/>
      <c r="P11" s="207"/>
      <c r="Q11" s="207"/>
      <c r="R11" s="207"/>
      <c r="S11" s="207"/>
      <c r="T11" s="9"/>
      <c r="U11" s="9"/>
      <c r="V11" s="9"/>
      <c r="W11" s="9"/>
      <c r="X11" s="9"/>
      <c r="Y11" s="9"/>
      <c r="Z11" s="9"/>
    </row>
    <row r="12" ht="19.5" customHeight="1">
      <c r="A12" s="201">
        <v>9.0</v>
      </c>
      <c r="B12" s="202" t="s">
        <v>175</v>
      </c>
      <c r="C12" s="201" t="s">
        <v>224</v>
      </c>
      <c r="D12" s="201" t="s">
        <v>225</v>
      </c>
      <c r="E12" s="201" t="s">
        <v>228</v>
      </c>
      <c r="F12" s="203" t="s">
        <v>239</v>
      </c>
      <c r="G12" s="204"/>
      <c r="H12" s="204"/>
      <c r="I12" s="204"/>
      <c r="J12" s="205"/>
      <c r="K12" s="202"/>
      <c r="L12" s="206"/>
      <c r="M12" s="204"/>
      <c r="N12" s="207"/>
      <c r="O12" s="207"/>
      <c r="P12" s="207"/>
      <c r="Q12" s="207"/>
      <c r="R12" s="207"/>
      <c r="S12" s="207"/>
      <c r="T12" s="9"/>
      <c r="U12" s="9"/>
      <c r="V12" s="9"/>
      <c r="W12" s="9"/>
      <c r="X12" s="9"/>
      <c r="Y12" s="9"/>
      <c r="Z12" s="9"/>
    </row>
    <row r="13" ht="19.5" customHeight="1">
      <c r="A13" s="201">
        <v>10.0</v>
      </c>
      <c r="B13" s="202" t="s">
        <v>175</v>
      </c>
      <c r="C13" s="201" t="s">
        <v>224</v>
      </c>
      <c r="D13" s="201" t="s">
        <v>225</v>
      </c>
      <c r="E13" s="201" t="s">
        <v>230</v>
      </c>
      <c r="F13" s="203" t="s">
        <v>240</v>
      </c>
      <c r="G13" s="204"/>
      <c r="H13" s="204"/>
      <c r="I13" s="204"/>
      <c r="J13" s="205"/>
      <c r="K13" s="202"/>
      <c r="L13" s="206"/>
      <c r="M13" s="204"/>
      <c r="N13" s="207"/>
      <c r="O13" s="207"/>
      <c r="P13" s="207"/>
      <c r="Q13" s="207"/>
      <c r="R13" s="207"/>
      <c r="S13" s="207"/>
      <c r="T13" s="9"/>
      <c r="U13" s="9"/>
      <c r="V13" s="9"/>
      <c r="W13" s="9"/>
      <c r="X13" s="9"/>
      <c r="Y13" s="9"/>
      <c r="Z13" s="9"/>
    </row>
    <row r="14" ht="19.5" customHeight="1">
      <c r="A14" s="201">
        <v>11.0</v>
      </c>
      <c r="B14" s="202" t="s">
        <v>175</v>
      </c>
      <c r="C14" s="201" t="s">
        <v>224</v>
      </c>
      <c r="D14" s="201" t="s">
        <v>225</v>
      </c>
      <c r="E14" s="201" t="s">
        <v>232</v>
      </c>
      <c r="F14" s="203" t="s">
        <v>233</v>
      </c>
      <c r="G14" s="204"/>
      <c r="H14" s="204"/>
      <c r="I14" s="204"/>
      <c r="J14" s="205"/>
      <c r="K14" s="202"/>
      <c r="L14" s="206"/>
      <c r="M14" s="204"/>
      <c r="N14" s="207"/>
      <c r="O14" s="207"/>
      <c r="P14" s="207"/>
      <c r="Q14" s="207"/>
      <c r="R14" s="207"/>
      <c r="S14" s="207"/>
      <c r="T14" s="9"/>
      <c r="U14" s="9"/>
      <c r="V14" s="9"/>
      <c r="W14" s="9"/>
      <c r="X14" s="9"/>
      <c r="Y14" s="9"/>
      <c r="Z14" s="9"/>
    </row>
    <row r="15" ht="19.5" customHeight="1">
      <c r="A15" s="201">
        <v>12.0</v>
      </c>
      <c r="B15" s="202" t="s">
        <v>175</v>
      </c>
      <c r="C15" s="201" t="s">
        <v>224</v>
      </c>
      <c r="D15" s="201" t="s">
        <v>225</v>
      </c>
      <c r="E15" s="201" t="s">
        <v>232</v>
      </c>
      <c r="F15" s="203" t="s">
        <v>234</v>
      </c>
      <c r="G15" s="204"/>
      <c r="H15" s="204"/>
      <c r="I15" s="204"/>
      <c r="J15" s="205"/>
      <c r="K15" s="202"/>
      <c r="L15" s="206"/>
      <c r="M15" s="204"/>
      <c r="N15" s="207"/>
      <c r="O15" s="207"/>
      <c r="P15" s="207"/>
      <c r="Q15" s="207"/>
      <c r="R15" s="207"/>
      <c r="S15" s="207"/>
      <c r="T15" s="9"/>
      <c r="U15" s="9"/>
      <c r="V15" s="9"/>
      <c r="W15" s="9"/>
      <c r="X15" s="9"/>
      <c r="Y15" s="9"/>
      <c r="Z15" s="9"/>
    </row>
    <row r="16" ht="19.5" customHeight="1">
      <c r="A16" s="201">
        <v>13.0</v>
      </c>
      <c r="B16" s="202" t="s">
        <v>175</v>
      </c>
      <c r="C16" s="201" t="s">
        <v>224</v>
      </c>
      <c r="D16" s="201" t="s">
        <v>225</v>
      </c>
      <c r="E16" s="201" t="s">
        <v>232</v>
      </c>
      <c r="F16" s="203" t="s">
        <v>241</v>
      </c>
      <c r="G16" s="204"/>
      <c r="H16" s="204"/>
      <c r="I16" s="204"/>
      <c r="J16" s="205"/>
      <c r="K16" s="202"/>
      <c r="L16" s="206"/>
      <c r="M16" s="204"/>
      <c r="N16" s="207"/>
      <c r="O16" s="207"/>
      <c r="P16" s="207"/>
      <c r="Q16" s="207"/>
      <c r="R16" s="207"/>
      <c r="S16" s="207"/>
      <c r="T16" s="9"/>
      <c r="U16" s="9"/>
      <c r="V16" s="9"/>
      <c r="W16" s="9"/>
      <c r="X16" s="9"/>
      <c r="Y16" s="9"/>
      <c r="Z16" s="9"/>
    </row>
    <row r="17" ht="19.5" customHeight="1">
      <c r="A17" s="208"/>
      <c r="B17" s="209"/>
      <c r="C17" s="208"/>
      <c r="D17" s="208"/>
      <c r="E17" s="208"/>
      <c r="F17" s="210"/>
      <c r="G17" s="211"/>
      <c r="H17" s="211"/>
      <c r="I17" s="211"/>
      <c r="J17" s="211"/>
      <c r="K17" s="211"/>
      <c r="L17" s="212"/>
      <c r="M17" s="209"/>
      <c r="N17" s="200"/>
      <c r="O17" s="200"/>
      <c r="P17" s="200"/>
      <c r="Q17" s="200"/>
      <c r="R17" s="200"/>
      <c r="S17" s="200"/>
      <c r="T17" s="9"/>
      <c r="U17" s="9"/>
      <c r="V17" s="9"/>
      <c r="W17" s="9"/>
      <c r="X17" s="9"/>
      <c r="Y17" s="9"/>
      <c r="Z17" s="9"/>
    </row>
    <row r="18" ht="19.5" customHeight="1">
      <c r="A18" s="201">
        <v>14.0</v>
      </c>
      <c r="B18" s="202" t="s">
        <v>178</v>
      </c>
      <c r="C18" s="201" t="s">
        <v>224</v>
      </c>
      <c r="D18" s="201" t="s">
        <v>225</v>
      </c>
      <c r="E18" s="201" t="s">
        <v>226</v>
      </c>
      <c r="F18" s="203" t="s">
        <v>242</v>
      </c>
      <c r="G18" s="204"/>
      <c r="H18" s="204"/>
      <c r="I18" s="204"/>
      <c r="J18" s="205"/>
      <c r="K18" s="202"/>
      <c r="L18" s="206"/>
      <c r="M18" s="202"/>
      <c r="N18" s="200"/>
      <c r="O18" s="200"/>
      <c r="P18" s="200"/>
      <c r="Q18" s="200"/>
      <c r="R18" s="200"/>
      <c r="S18" s="200"/>
      <c r="T18" s="9"/>
      <c r="U18" s="9"/>
      <c r="V18" s="9"/>
      <c r="W18" s="9"/>
      <c r="X18" s="9"/>
      <c r="Y18" s="9"/>
      <c r="Z18" s="9"/>
    </row>
    <row r="19" ht="19.5" customHeight="1">
      <c r="A19" s="201">
        <v>15.0</v>
      </c>
      <c r="B19" s="202" t="s">
        <v>178</v>
      </c>
      <c r="C19" s="201" t="s">
        <v>224</v>
      </c>
      <c r="D19" s="201" t="s">
        <v>225</v>
      </c>
      <c r="E19" s="201" t="s">
        <v>228</v>
      </c>
      <c r="F19" s="203" t="s">
        <v>243</v>
      </c>
      <c r="G19" s="204"/>
      <c r="H19" s="204"/>
      <c r="I19" s="204"/>
      <c r="J19" s="205"/>
      <c r="K19" s="202"/>
      <c r="L19" s="206"/>
      <c r="M19" s="204"/>
      <c r="N19" s="207"/>
      <c r="O19" s="207"/>
      <c r="P19" s="207"/>
      <c r="Q19" s="207"/>
      <c r="R19" s="207"/>
      <c r="S19" s="207"/>
      <c r="T19" s="9"/>
      <c r="U19" s="9"/>
      <c r="V19" s="9"/>
      <c r="W19" s="9"/>
      <c r="X19" s="9"/>
      <c r="Y19" s="9"/>
      <c r="Z19" s="9"/>
    </row>
    <row r="20" ht="19.5" customHeight="1">
      <c r="A20" s="201">
        <v>16.0</v>
      </c>
      <c r="B20" s="202" t="s">
        <v>178</v>
      </c>
      <c r="C20" s="201" t="s">
        <v>224</v>
      </c>
      <c r="D20" s="201" t="s">
        <v>225</v>
      </c>
      <c r="E20" s="201" t="s">
        <v>230</v>
      </c>
      <c r="F20" s="203" t="s">
        <v>244</v>
      </c>
      <c r="G20" s="204"/>
      <c r="H20" s="204"/>
      <c r="I20" s="204"/>
      <c r="J20" s="205"/>
      <c r="K20" s="202"/>
      <c r="L20" s="206"/>
      <c r="M20" s="204"/>
      <c r="N20" s="207"/>
      <c r="O20" s="207"/>
      <c r="P20" s="207"/>
      <c r="Q20" s="207"/>
      <c r="R20" s="207"/>
      <c r="S20" s="207"/>
      <c r="T20" s="9"/>
      <c r="U20" s="9"/>
      <c r="V20" s="9"/>
      <c r="W20" s="9"/>
      <c r="X20" s="9"/>
      <c r="Y20" s="9"/>
      <c r="Z20" s="9"/>
    </row>
    <row r="21" ht="19.5" customHeight="1">
      <c r="A21" s="201">
        <v>17.0</v>
      </c>
      <c r="B21" s="202" t="s">
        <v>178</v>
      </c>
      <c r="C21" s="201" t="s">
        <v>224</v>
      </c>
      <c r="D21" s="201" t="s">
        <v>225</v>
      </c>
      <c r="E21" s="201" t="s">
        <v>232</v>
      </c>
      <c r="F21" s="203" t="s">
        <v>233</v>
      </c>
      <c r="G21" s="204"/>
      <c r="H21" s="204"/>
      <c r="I21" s="204"/>
      <c r="J21" s="205"/>
      <c r="K21" s="202"/>
      <c r="L21" s="206"/>
      <c r="M21" s="204"/>
      <c r="N21" s="207"/>
      <c r="O21" s="207"/>
      <c r="P21" s="207"/>
      <c r="Q21" s="207"/>
      <c r="R21" s="207"/>
      <c r="S21" s="207"/>
      <c r="T21" s="9"/>
      <c r="U21" s="9"/>
      <c r="V21" s="9"/>
      <c r="W21" s="9"/>
      <c r="X21" s="9"/>
      <c r="Y21" s="9"/>
      <c r="Z21" s="9"/>
    </row>
    <row r="22" ht="19.5" customHeight="1">
      <c r="A22" s="201">
        <v>18.0</v>
      </c>
      <c r="B22" s="202" t="s">
        <v>178</v>
      </c>
      <c r="C22" s="201" t="s">
        <v>224</v>
      </c>
      <c r="D22" s="201" t="s">
        <v>225</v>
      </c>
      <c r="E22" s="201" t="s">
        <v>232</v>
      </c>
      <c r="F22" s="203" t="s">
        <v>234</v>
      </c>
      <c r="G22" s="204"/>
      <c r="H22" s="204"/>
      <c r="I22" s="204"/>
      <c r="J22" s="205"/>
      <c r="K22" s="202"/>
      <c r="L22" s="206"/>
      <c r="M22" s="204"/>
      <c r="N22" s="207"/>
      <c r="O22" s="207"/>
      <c r="P22" s="207"/>
      <c r="Q22" s="207"/>
      <c r="R22" s="207"/>
      <c r="S22" s="207"/>
      <c r="T22" s="9"/>
      <c r="U22" s="9"/>
      <c r="V22" s="9"/>
      <c r="W22" s="9"/>
      <c r="X22" s="9"/>
      <c r="Y22" s="9"/>
      <c r="Z22" s="9"/>
    </row>
    <row r="23" ht="19.5" customHeight="1">
      <c r="A23" s="201">
        <v>19.0</v>
      </c>
      <c r="B23" s="202" t="s">
        <v>178</v>
      </c>
      <c r="C23" s="201" t="s">
        <v>224</v>
      </c>
      <c r="D23" s="201" t="s">
        <v>225</v>
      </c>
      <c r="E23" s="201" t="s">
        <v>232</v>
      </c>
      <c r="F23" s="203" t="s">
        <v>245</v>
      </c>
      <c r="G23" s="204"/>
      <c r="H23" s="204"/>
      <c r="I23" s="204"/>
      <c r="J23" s="205"/>
      <c r="K23" s="202"/>
      <c r="L23" s="206"/>
      <c r="M23" s="204"/>
      <c r="N23" s="207"/>
      <c r="O23" s="207"/>
      <c r="P23" s="207"/>
      <c r="Q23" s="207"/>
      <c r="R23" s="207"/>
      <c r="S23" s="207"/>
      <c r="T23" s="9"/>
      <c r="U23" s="9"/>
      <c r="V23" s="9"/>
      <c r="W23" s="9"/>
      <c r="X23" s="9"/>
      <c r="Y23" s="9"/>
      <c r="Z23" s="9"/>
    </row>
    <row r="24" ht="19.5" customHeight="1">
      <c r="A24" s="208"/>
      <c r="B24" s="209"/>
      <c r="C24" s="208"/>
      <c r="D24" s="208"/>
      <c r="E24" s="208"/>
      <c r="F24" s="213"/>
      <c r="G24" s="211"/>
      <c r="H24" s="211"/>
      <c r="I24" s="211"/>
      <c r="J24" s="214"/>
      <c r="K24" s="209"/>
      <c r="L24" s="215"/>
      <c r="M24" s="211"/>
      <c r="N24" s="207"/>
      <c r="O24" s="207"/>
      <c r="P24" s="207"/>
      <c r="Q24" s="207"/>
      <c r="R24" s="207"/>
      <c r="S24" s="207"/>
      <c r="T24" s="9"/>
      <c r="U24" s="9"/>
      <c r="V24" s="9"/>
      <c r="W24" s="9"/>
      <c r="X24" s="9"/>
      <c r="Y24" s="9"/>
      <c r="Z24" s="9"/>
    </row>
    <row r="25" ht="19.5" customHeight="1">
      <c r="A25" s="201">
        <v>20.0</v>
      </c>
      <c r="B25" s="202" t="s">
        <v>246</v>
      </c>
      <c r="C25" s="201" t="s">
        <v>224</v>
      </c>
      <c r="D25" s="201" t="s">
        <v>225</v>
      </c>
      <c r="E25" s="201" t="s">
        <v>226</v>
      </c>
      <c r="F25" s="203" t="s">
        <v>247</v>
      </c>
      <c r="G25" s="204"/>
      <c r="H25" s="204"/>
      <c r="I25" s="204"/>
      <c r="J25" s="205"/>
      <c r="K25" s="202"/>
      <c r="L25" s="206"/>
      <c r="M25" s="202"/>
      <c r="N25" s="200"/>
      <c r="O25" s="200"/>
      <c r="P25" s="200"/>
      <c r="Q25" s="200"/>
      <c r="R25" s="200"/>
      <c r="S25" s="200"/>
      <c r="T25" s="9"/>
      <c r="U25" s="9"/>
      <c r="V25" s="9"/>
      <c r="W25" s="9"/>
      <c r="X25" s="9"/>
      <c r="Y25" s="9"/>
      <c r="Z25" s="9"/>
    </row>
    <row r="26" ht="19.5" customHeight="1">
      <c r="A26" s="201">
        <v>21.0</v>
      </c>
      <c r="B26" s="202" t="s">
        <v>246</v>
      </c>
      <c r="C26" s="201" t="s">
        <v>224</v>
      </c>
      <c r="D26" s="201" t="s">
        <v>225</v>
      </c>
      <c r="E26" s="201" t="s">
        <v>228</v>
      </c>
      <c r="F26" s="203" t="s">
        <v>248</v>
      </c>
      <c r="G26" s="204"/>
      <c r="H26" s="204"/>
      <c r="I26" s="204"/>
      <c r="J26" s="205"/>
      <c r="K26" s="202"/>
      <c r="L26" s="206"/>
      <c r="M26" s="216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201">
        <v>22.0</v>
      </c>
      <c r="B27" s="202" t="s">
        <v>246</v>
      </c>
      <c r="C27" s="201" t="s">
        <v>224</v>
      </c>
      <c r="D27" s="201" t="s">
        <v>225</v>
      </c>
      <c r="E27" s="201" t="s">
        <v>230</v>
      </c>
      <c r="F27" s="203" t="s">
        <v>249</v>
      </c>
      <c r="G27" s="204"/>
      <c r="H27" s="204"/>
      <c r="I27" s="204"/>
      <c r="J27" s="205"/>
      <c r="K27" s="202"/>
      <c r="L27" s="206"/>
      <c r="M27" s="204"/>
      <c r="N27" s="207"/>
      <c r="O27" s="207"/>
      <c r="P27" s="207"/>
      <c r="Q27" s="207"/>
      <c r="R27" s="207"/>
      <c r="S27" s="207"/>
      <c r="T27" s="9"/>
      <c r="U27" s="9"/>
      <c r="V27" s="9"/>
      <c r="W27" s="9"/>
      <c r="X27" s="9"/>
      <c r="Y27" s="9"/>
      <c r="Z27" s="9"/>
    </row>
    <row r="28" ht="19.5" customHeight="1">
      <c r="A28" s="201">
        <v>23.0</v>
      </c>
      <c r="B28" s="202" t="s">
        <v>246</v>
      </c>
      <c r="C28" s="201" t="s">
        <v>224</v>
      </c>
      <c r="D28" s="201" t="s">
        <v>225</v>
      </c>
      <c r="E28" s="201" t="s">
        <v>232</v>
      </c>
      <c r="F28" s="203" t="s">
        <v>233</v>
      </c>
      <c r="G28" s="204"/>
      <c r="H28" s="204"/>
      <c r="I28" s="204"/>
      <c r="J28" s="205"/>
      <c r="K28" s="202"/>
      <c r="L28" s="206"/>
      <c r="M28" s="204"/>
      <c r="N28" s="207"/>
      <c r="O28" s="207"/>
      <c r="P28" s="207"/>
      <c r="Q28" s="207"/>
      <c r="R28" s="207"/>
      <c r="S28" s="207"/>
      <c r="T28" s="9"/>
      <c r="U28" s="9"/>
      <c r="V28" s="9"/>
      <c r="W28" s="9"/>
      <c r="X28" s="9"/>
      <c r="Y28" s="9"/>
      <c r="Z28" s="9"/>
    </row>
    <row r="29" ht="19.5" customHeight="1">
      <c r="A29" s="201">
        <v>24.0</v>
      </c>
      <c r="B29" s="202" t="s">
        <v>246</v>
      </c>
      <c r="C29" s="201" t="s">
        <v>224</v>
      </c>
      <c r="D29" s="201" t="s">
        <v>225</v>
      </c>
      <c r="E29" s="201" t="s">
        <v>232</v>
      </c>
      <c r="F29" s="203" t="s">
        <v>234</v>
      </c>
      <c r="G29" s="204"/>
      <c r="H29" s="204"/>
      <c r="I29" s="204"/>
      <c r="J29" s="205"/>
      <c r="K29" s="202"/>
      <c r="L29" s="206"/>
      <c r="M29" s="204"/>
      <c r="N29" s="207"/>
      <c r="O29" s="207"/>
      <c r="P29" s="207"/>
      <c r="Q29" s="207"/>
      <c r="R29" s="207"/>
      <c r="S29" s="207"/>
      <c r="T29" s="9"/>
      <c r="U29" s="9"/>
      <c r="V29" s="9"/>
      <c r="W29" s="9"/>
      <c r="X29" s="9"/>
      <c r="Y29" s="9"/>
      <c r="Z29" s="9"/>
    </row>
    <row r="30" ht="19.5" customHeight="1">
      <c r="A30" s="201">
        <v>25.0</v>
      </c>
      <c r="B30" s="202" t="s">
        <v>246</v>
      </c>
      <c r="C30" s="201" t="s">
        <v>224</v>
      </c>
      <c r="D30" s="201" t="s">
        <v>225</v>
      </c>
      <c r="E30" s="201" t="s">
        <v>232</v>
      </c>
      <c r="F30" s="203" t="s">
        <v>250</v>
      </c>
      <c r="G30" s="204"/>
      <c r="H30" s="204"/>
      <c r="I30" s="204"/>
      <c r="J30" s="205"/>
      <c r="K30" s="202"/>
      <c r="L30" s="206"/>
      <c r="M30" s="204"/>
      <c r="N30" s="207"/>
      <c r="O30" s="207"/>
      <c r="P30" s="207"/>
      <c r="Q30" s="207"/>
      <c r="R30" s="207"/>
      <c r="S30" s="207"/>
      <c r="T30" s="9"/>
      <c r="U30" s="9"/>
      <c r="V30" s="9"/>
      <c r="W30" s="9"/>
      <c r="X30" s="9"/>
      <c r="Y30" s="9"/>
      <c r="Z30" s="9"/>
    </row>
    <row r="31" ht="19.5" customHeight="1">
      <c r="A31" s="208"/>
      <c r="B31" s="209"/>
      <c r="C31" s="208"/>
      <c r="D31" s="208"/>
      <c r="E31" s="208"/>
      <c r="F31" s="213"/>
      <c r="G31" s="211"/>
      <c r="H31" s="211"/>
      <c r="I31" s="211"/>
      <c r="J31" s="214"/>
      <c r="K31" s="209"/>
      <c r="L31" s="215"/>
      <c r="M31" s="211"/>
      <c r="N31" s="207"/>
      <c r="O31" s="207"/>
      <c r="P31" s="207"/>
      <c r="Q31" s="207"/>
      <c r="R31" s="207"/>
      <c r="S31" s="207"/>
      <c r="T31" s="9"/>
      <c r="U31" s="9"/>
      <c r="V31" s="9"/>
      <c r="W31" s="9"/>
      <c r="X31" s="9"/>
      <c r="Y31" s="9"/>
      <c r="Z31" s="9"/>
    </row>
    <row r="32" ht="19.5" customHeight="1">
      <c r="A32" s="201">
        <v>26.0</v>
      </c>
      <c r="B32" s="202" t="s">
        <v>251</v>
      </c>
      <c r="C32" s="201" t="s">
        <v>224</v>
      </c>
      <c r="D32" s="201" t="s">
        <v>225</v>
      </c>
      <c r="E32" s="201" t="s">
        <v>226</v>
      </c>
      <c r="F32" s="203" t="s">
        <v>252</v>
      </c>
      <c r="G32" s="204"/>
      <c r="H32" s="204"/>
      <c r="I32" s="204"/>
      <c r="J32" s="205"/>
      <c r="K32" s="202"/>
      <c r="L32" s="206"/>
      <c r="M32" s="202"/>
      <c r="N32" s="200"/>
      <c r="O32" s="200"/>
      <c r="P32" s="200"/>
      <c r="Q32" s="200"/>
      <c r="R32" s="200"/>
      <c r="S32" s="200"/>
      <c r="T32" s="9"/>
      <c r="U32" s="9"/>
      <c r="V32" s="9"/>
      <c r="W32" s="9"/>
      <c r="X32" s="9"/>
      <c r="Y32" s="9"/>
      <c r="Z32" s="9"/>
    </row>
    <row r="33" ht="19.5" customHeight="1">
      <c r="A33" s="201">
        <v>27.0</v>
      </c>
      <c r="B33" s="202" t="s">
        <v>251</v>
      </c>
      <c r="C33" s="201" t="s">
        <v>224</v>
      </c>
      <c r="D33" s="201" t="s">
        <v>225</v>
      </c>
      <c r="E33" s="201" t="s">
        <v>228</v>
      </c>
      <c r="F33" s="203" t="s">
        <v>253</v>
      </c>
      <c r="G33" s="204"/>
      <c r="H33" s="204"/>
      <c r="I33" s="204"/>
      <c r="J33" s="205"/>
      <c r="K33" s="202"/>
      <c r="L33" s="206"/>
      <c r="M33" s="204"/>
      <c r="N33" s="207"/>
      <c r="O33" s="207"/>
      <c r="P33" s="207"/>
      <c r="Q33" s="207"/>
      <c r="R33" s="207"/>
      <c r="S33" s="207"/>
      <c r="T33" s="9"/>
      <c r="U33" s="9"/>
      <c r="V33" s="9"/>
      <c r="W33" s="9"/>
      <c r="X33" s="9"/>
      <c r="Y33" s="9"/>
      <c r="Z33" s="9"/>
    </row>
    <row r="34" ht="19.5" customHeight="1">
      <c r="A34" s="201">
        <v>28.0</v>
      </c>
      <c r="B34" s="202" t="s">
        <v>251</v>
      </c>
      <c r="C34" s="201" t="s">
        <v>224</v>
      </c>
      <c r="D34" s="201" t="s">
        <v>225</v>
      </c>
      <c r="E34" s="201" t="s">
        <v>230</v>
      </c>
      <c r="F34" s="203" t="s">
        <v>254</v>
      </c>
      <c r="G34" s="204"/>
      <c r="H34" s="204"/>
      <c r="I34" s="204"/>
      <c r="J34" s="205"/>
      <c r="K34" s="202"/>
      <c r="L34" s="206"/>
      <c r="M34" s="204"/>
      <c r="N34" s="207"/>
      <c r="O34" s="207"/>
      <c r="P34" s="207"/>
      <c r="Q34" s="207"/>
      <c r="R34" s="207"/>
      <c r="S34" s="207"/>
      <c r="T34" s="9"/>
      <c r="U34" s="9"/>
      <c r="V34" s="9"/>
      <c r="W34" s="9"/>
      <c r="X34" s="9"/>
      <c r="Y34" s="9"/>
      <c r="Z34" s="9"/>
    </row>
    <row r="35" ht="19.5" customHeight="1">
      <c r="A35" s="201">
        <v>29.0</v>
      </c>
      <c r="B35" s="202" t="s">
        <v>251</v>
      </c>
      <c r="C35" s="201" t="s">
        <v>224</v>
      </c>
      <c r="D35" s="201" t="s">
        <v>225</v>
      </c>
      <c r="E35" s="201" t="s">
        <v>232</v>
      </c>
      <c r="F35" s="203" t="s">
        <v>233</v>
      </c>
      <c r="G35" s="204"/>
      <c r="H35" s="204"/>
      <c r="I35" s="204"/>
      <c r="J35" s="205"/>
      <c r="K35" s="202"/>
      <c r="L35" s="206"/>
      <c r="M35" s="204"/>
      <c r="N35" s="207"/>
      <c r="O35" s="207"/>
      <c r="P35" s="207"/>
      <c r="Q35" s="207"/>
      <c r="R35" s="207"/>
      <c r="S35" s="207"/>
      <c r="T35" s="9"/>
      <c r="U35" s="9"/>
      <c r="V35" s="9"/>
      <c r="W35" s="9"/>
      <c r="X35" s="9"/>
      <c r="Y35" s="9"/>
      <c r="Z35" s="9"/>
    </row>
    <row r="36" ht="19.5" customHeight="1">
      <c r="A36" s="201">
        <v>30.0</v>
      </c>
      <c r="B36" s="202" t="s">
        <v>251</v>
      </c>
      <c r="C36" s="201" t="s">
        <v>224</v>
      </c>
      <c r="D36" s="201" t="s">
        <v>225</v>
      </c>
      <c r="E36" s="201" t="s">
        <v>232</v>
      </c>
      <c r="F36" s="203" t="s">
        <v>234</v>
      </c>
      <c r="G36" s="204"/>
      <c r="H36" s="204"/>
      <c r="I36" s="204"/>
      <c r="J36" s="205"/>
      <c r="K36" s="202"/>
      <c r="L36" s="206"/>
      <c r="M36" s="204"/>
      <c r="N36" s="207"/>
      <c r="O36" s="207"/>
      <c r="P36" s="207"/>
      <c r="Q36" s="207"/>
      <c r="R36" s="207"/>
      <c r="S36" s="207"/>
      <c r="T36" s="9"/>
      <c r="U36" s="9"/>
      <c r="V36" s="9"/>
      <c r="W36" s="9"/>
      <c r="X36" s="9"/>
      <c r="Y36" s="9"/>
      <c r="Z36" s="9"/>
    </row>
    <row r="37" ht="19.5" customHeight="1">
      <c r="A37" s="201">
        <v>31.0</v>
      </c>
      <c r="B37" s="202" t="s">
        <v>251</v>
      </c>
      <c r="C37" s="201" t="s">
        <v>224</v>
      </c>
      <c r="D37" s="201" t="s">
        <v>225</v>
      </c>
      <c r="E37" s="201" t="s">
        <v>232</v>
      </c>
      <c r="F37" s="203" t="s">
        <v>255</v>
      </c>
      <c r="G37" s="204"/>
      <c r="H37" s="204"/>
      <c r="I37" s="204"/>
      <c r="J37" s="205"/>
      <c r="K37" s="202"/>
      <c r="L37" s="206"/>
      <c r="M37" s="204"/>
      <c r="N37" s="207"/>
      <c r="O37" s="207"/>
      <c r="P37" s="207"/>
      <c r="Q37" s="207"/>
      <c r="R37" s="207"/>
      <c r="S37" s="207"/>
      <c r="T37" s="9"/>
      <c r="U37" s="9"/>
      <c r="V37" s="9"/>
      <c r="W37" s="9"/>
      <c r="X37" s="9"/>
      <c r="Y37" s="9"/>
      <c r="Z37" s="9"/>
    </row>
    <row r="38" ht="19.5" customHeight="1">
      <c r="A38" s="208"/>
      <c r="B38" s="209"/>
      <c r="C38" s="208"/>
      <c r="D38" s="208"/>
      <c r="E38" s="208"/>
      <c r="F38" s="210"/>
      <c r="G38" s="211"/>
      <c r="H38" s="211"/>
      <c r="I38" s="211"/>
      <c r="J38" s="211"/>
      <c r="K38" s="211"/>
      <c r="L38" s="212"/>
      <c r="M38" s="209"/>
      <c r="N38" s="200"/>
      <c r="O38" s="200"/>
      <c r="P38" s="200"/>
      <c r="Q38" s="200"/>
      <c r="R38" s="200"/>
      <c r="S38" s="200"/>
      <c r="T38" s="9"/>
      <c r="U38" s="9"/>
      <c r="V38" s="9"/>
      <c r="W38" s="9"/>
      <c r="X38" s="9"/>
      <c r="Y38" s="9"/>
      <c r="Z38" s="9"/>
    </row>
    <row r="39" ht="19.5" customHeight="1">
      <c r="A39" s="201">
        <v>32.0</v>
      </c>
      <c r="B39" s="202" t="s">
        <v>256</v>
      </c>
      <c r="C39" s="201" t="s">
        <v>224</v>
      </c>
      <c r="D39" s="201" t="s">
        <v>225</v>
      </c>
      <c r="E39" s="201" t="s">
        <v>226</v>
      </c>
      <c r="F39" s="203" t="s">
        <v>257</v>
      </c>
      <c r="G39" s="204"/>
      <c r="H39" s="204"/>
      <c r="I39" s="204"/>
      <c r="J39" s="205"/>
      <c r="K39" s="202"/>
      <c r="L39" s="206"/>
      <c r="M39" s="202"/>
      <c r="N39" s="200"/>
      <c r="O39" s="200"/>
      <c r="P39" s="200"/>
      <c r="Q39" s="200"/>
      <c r="R39" s="200"/>
      <c r="S39" s="200"/>
      <c r="T39" s="9"/>
      <c r="U39" s="9"/>
      <c r="V39" s="9"/>
      <c r="W39" s="9"/>
      <c r="X39" s="9"/>
      <c r="Y39" s="9"/>
      <c r="Z39" s="9"/>
    </row>
    <row r="40" ht="19.5" customHeight="1">
      <c r="A40" s="201">
        <v>33.0</v>
      </c>
      <c r="B40" s="202" t="s">
        <v>256</v>
      </c>
      <c r="C40" s="201" t="s">
        <v>224</v>
      </c>
      <c r="D40" s="201" t="s">
        <v>225</v>
      </c>
      <c r="E40" s="201" t="s">
        <v>226</v>
      </c>
      <c r="F40" s="203" t="s">
        <v>258</v>
      </c>
      <c r="G40" s="204"/>
      <c r="H40" s="204"/>
      <c r="I40" s="204"/>
      <c r="J40" s="205"/>
      <c r="K40" s="202"/>
      <c r="L40" s="206"/>
      <c r="M40" s="216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201">
        <v>34.0</v>
      </c>
      <c r="B41" s="202" t="s">
        <v>256</v>
      </c>
      <c r="C41" s="201" t="s">
        <v>224</v>
      </c>
      <c r="D41" s="201" t="s">
        <v>225</v>
      </c>
      <c r="E41" s="201" t="s">
        <v>230</v>
      </c>
      <c r="F41" s="203" t="s">
        <v>259</v>
      </c>
      <c r="G41" s="204"/>
      <c r="H41" s="204"/>
      <c r="I41" s="204"/>
      <c r="J41" s="205"/>
      <c r="K41" s="202"/>
      <c r="L41" s="206"/>
      <c r="M41" s="216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201">
        <v>35.0</v>
      </c>
      <c r="B42" s="202" t="s">
        <v>256</v>
      </c>
      <c r="C42" s="201" t="s">
        <v>224</v>
      </c>
      <c r="D42" s="201" t="s">
        <v>225</v>
      </c>
      <c r="E42" s="201" t="s">
        <v>232</v>
      </c>
      <c r="F42" s="203" t="s">
        <v>233</v>
      </c>
      <c r="G42" s="204"/>
      <c r="H42" s="204"/>
      <c r="I42" s="204"/>
      <c r="J42" s="205"/>
      <c r="K42" s="202"/>
      <c r="L42" s="206"/>
      <c r="M42" s="216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201">
        <v>36.0</v>
      </c>
      <c r="B43" s="202" t="s">
        <v>256</v>
      </c>
      <c r="C43" s="201" t="s">
        <v>224</v>
      </c>
      <c r="D43" s="201" t="s">
        <v>225</v>
      </c>
      <c r="E43" s="201" t="s">
        <v>232</v>
      </c>
      <c r="F43" s="203" t="s">
        <v>234</v>
      </c>
      <c r="G43" s="204"/>
      <c r="H43" s="204"/>
      <c r="I43" s="204"/>
      <c r="J43" s="205"/>
      <c r="K43" s="202"/>
      <c r="L43" s="206"/>
      <c r="M43" s="216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201">
        <v>37.0</v>
      </c>
      <c r="B44" s="202" t="s">
        <v>256</v>
      </c>
      <c r="C44" s="201" t="s">
        <v>224</v>
      </c>
      <c r="D44" s="201" t="s">
        <v>225</v>
      </c>
      <c r="E44" s="201" t="s">
        <v>232</v>
      </c>
      <c r="F44" s="203" t="s">
        <v>260</v>
      </c>
      <c r="G44" s="204"/>
      <c r="H44" s="204"/>
      <c r="I44" s="204"/>
      <c r="J44" s="205"/>
      <c r="K44" s="202"/>
      <c r="L44" s="206"/>
      <c r="M44" s="216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208"/>
      <c r="B45" s="209"/>
      <c r="C45" s="208"/>
      <c r="D45" s="208"/>
      <c r="E45" s="208"/>
      <c r="F45" s="210"/>
      <c r="G45" s="211"/>
      <c r="H45" s="211"/>
      <c r="I45" s="211"/>
      <c r="J45" s="211"/>
      <c r="K45" s="211"/>
      <c r="L45" s="212"/>
      <c r="M45" s="209"/>
      <c r="N45" s="200"/>
      <c r="O45" s="200"/>
      <c r="P45" s="200"/>
      <c r="Q45" s="200"/>
      <c r="R45" s="200"/>
      <c r="S45" s="200"/>
      <c r="T45" s="9"/>
      <c r="U45" s="9"/>
      <c r="V45" s="9"/>
      <c r="W45" s="9"/>
      <c r="X45" s="9"/>
      <c r="Y45" s="9"/>
      <c r="Z45" s="9"/>
    </row>
    <row r="46" ht="19.5" customHeight="1">
      <c r="A46" s="201">
        <v>38.0</v>
      </c>
      <c r="B46" s="202" t="s">
        <v>261</v>
      </c>
      <c r="C46" s="201" t="s">
        <v>224</v>
      </c>
      <c r="D46" s="201" t="s">
        <v>225</v>
      </c>
      <c r="E46" s="201" t="s">
        <v>226</v>
      </c>
      <c r="F46" s="203" t="s">
        <v>262</v>
      </c>
      <c r="G46" s="204"/>
      <c r="H46" s="204"/>
      <c r="I46" s="204"/>
      <c r="J46" s="205"/>
      <c r="K46" s="202"/>
      <c r="L46" s="206"/>
      <c r="M46" s="202"/>
      <c r="N46" s="200"/>
      <c r="O46" s="200"/>
      <c r="P46" s="200"/>
      <c r="Q46" s="200"/>
      <c r="R46" s="200"/>
      <c r="S46" s="200"/>
      <c r="T46" s="9"/>
      <c r="U46" s="9"/>
      <c r="V46" s="9"/>
      <c r="W46" s="9"/>
      <c r="X46" s="9"/>
      <c r="Y46" s="9"/>
      <c r="Z46" s="9"/>
    </row>
    <row r="47" ht="19.5" customHeight="1">
      <c r="A47" s="201">
        <v>39.0</v>
      </c>
      <c r="B47" s="202" t="s">
        <v>261</v>
      </c>
      <c r="C47" s="201" t="s">
        <v>224</v>
      </c>
      <c r="D47" s="201" t="s">
        <v>225</v>
      </c>
      <c r="E47" s="201" t="s">
        <v>228</v>
      </c>
      <c r="F47" s="203" t="s">
        <v>263</v>
      </c>
      <c r="G47" s="204"/>
      <c r="H47" s="204"/>
      <c r="I47" s="204"/>
      <c r="J47" s="205"/>
      <c r="K47" s="202"/>
      <c r="L47" s="206"/>
      <c r="M47" s="216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201">
        <v>40.0</v>
      </c>
      <c r="B48" s="202" t="s">
        <v>261</v>
      </c>
      <c r="C48" s="201" t="s">
        <v>224</v>
      </c>
      <c r="D48" s="201" t="s">
        <v>225</v>
      </c>
      <c r="E48" s="201" t="s">
        <v>230</v>
      </c>
      <c r="F48" s="203" t="s">
        <v>264</v>
      </c>
      <c r="G48" s="204"/>
      <c r="H48" s="204"/>
      <c r="I48" s="204"/>
      <c r="J48" s="205"/>
      <c r="K48" s="202"/>
      <c r="L48" s="206"/>
      <c r="M48" s="216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201">
        <v>41.0</v>
      </c>
      <c r="B49" s="202" t="s">
        <v>261</v>
      </c>
      <c r="C49" s="201" t="s">
        <v>224</v>
      </c>
      <c r="D49" s="201" t="s">
        <v>225</v>
      </c>
      <c r="E49" s="201" t="s">
        <v>232</v>
      </c>
      <c r="F49" s="203" t="s">
        <v>233</v>
      </c>
      <c r="G49" s="204"/>
      <c r="H49" s="204"/>
      <c r="I49" s="204"/>
      <c r="J49" s="205"/>
      <c r="K49" s="202"/>
      <c r="L49" s="206"/>
      <c r="M49" s="216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201">
        <v>42.0</v>
      </c>
      <c r="B50" s="202" t="s">
        <v>261</v>
      </c>
      <c r="C50" s="201" t="s">
        <v>224</v>
      </c>
      <c r="D50" s="201" t="s">
        <v>225</v>
      </c>
      <c r="E50" s="201" t="s">
        <v>232</v>
      </c>
      <c r="F50" s="203" t="s">
        <v>234</v>
      </c>
      <c r="G50" s="204"/>
      <c r="H50" s="204"/>
      <c r="I50" s="204"/>
      <c r="J50" s="205"/>
      <c r="K50" s="202"/>
      <c r="L50" s="206"/>
      <c r="M50" s="216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201">
        <v>43.0</v>
      </c>
      <c r="B51" s="202" t="s">
        <v>261</v>
      </c>
      <c r="C51" s="201" t="s">
        <v>224</v>
      </c>
      <c r="D51" s="201" t="s">
        <v>225</v>
      </c>
      <c r="E51" s="201" t="s">
        <v>232</v>
      </c>
      <c r="F51" s="203" t="s">
        <v>265</v>
      </c>
      <c r="G51" s="204"/>
      <c r="H51" s="204"/>
      <c r="I51" s="204"/>
      <c r="J51" s="205"/>
      <c r="K51" s="202"/>
      <c r="L51" s="206"/>
      <c r="M51" s="216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208"/>
      <c r="B52" s="209"/>
      <c r="C52" s="208"/>
      <c r="D52" s="208"/>
      <c r="E52" s="208"/>
      <c r="F52" s="210"/>
      <c r="G52" s="211"/>
      <c r="H52" s="211"/>
      <c r="I52" s="211"/>
      <c r="J52" s="211"/>
      <c r="K52" s="211"/>
      <c r="L52" s="212"/>
      <c r="M52" s="209"/>
      <c r="N52" s="200"/>
      <c r="O52" s="200"/>
      <c r="P52" s="200"/>
      <c r="Q52" s="200"/>
      <c r="R52" s="200"/>
      <c r="S52" s="200"/>
      <c r="T52" s="9"/>
      <c r="U52" s="9"/>
      <c r="V52" s="9"/>
      <c r="W52" s="9"/>
      <c r="X52" s="9"/>
      <c r="Y52" s="9"/>
      <c r="Z52" s="9"/>
    </row>
    <row r="53" ht="19.5" customHeight="1">
      <c r="A53" s="201">
        <v>44.0</v>
      </c>
      <c r="B53" s="202" t="s">
        <v>266</v>
      </c>
      <c r="C53" s="201" t="s">
        <v>224</v>
      </c>
      <c r="D53" s="201" t="s">
        <v>225</v>
      </c>
      <c r="E53" s="201" t="s">
        <v>226</v>
      </c>
      <c r="F53" s="203" t="s">
        <v>267</v>
      </c>
      <c r="G53" s="204"/>
      <c r="H53" s="204"/>
      <c r="I53" s="204"/>
      <c r="J53" s="205"/>
      <c r="K53" s="202"/>
      <c r="L53" s="206"/>
      <c r="M53" s="202"/>
      <c r="N53" s="200"/>
      <c r="O53" s="200"/>
      <c r="P53" s="200"/>
      <c r="Q53" s="200"/>
      <c r="R53" s="200"/>
      <c r="S53" s="200"/>
      <c r="T53" s="9"/>
      <c r="U53" s="9"/>
      <c r="V53" s="9"/>
      <c r="W53" s="9"/>
      <c r="X53" s="9"/>
      <c r="Y53" s="9"/>
      <c r="Z53" s="9"/>
    </row>
    <row r="54" ht="19.5" customHeight="1">
      <c r="A54" s="201">
        <v>45.0</v>
      </c>
      <c r="B54" s="202" t="s">
        <v>266</v>
      </c>
      <c r="C54" s="201" t="s">
        <v>224</v>
      </c>
      <c r="D54" s="201" t="s">
        <v>225</v>
      </c>
      <c r="E54" s="201" t="s">
        <v>228</v>
      </c>
      <c r="F54" s="203" t="s">
        <v>268</v>
      </c>
      <c r="G54" s="204"/>
      <c r="H54" s="204"/>
      <c r="I54" s="204"/>
      <c r="J54" s="205"/>
      <c r="K54" s="202"/>
      <c r="L54" s="206"/>
      <c r="M54" s="216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201">
        <v>46.0</v>
      </c>
      <c r="B55" s="202" t="s">
        <v>266</v>
      </c>
      <c r="C55" s="201" t="s">
        <v>224</v>
      </c>
      <c r="D55" s="201" t="s">
        <v>225</v>
      </c>
      <c r="E55" s="201" t="s">
        <v>230</v>
      </c>
      <c r="F55" s="203" t="s">
        <v>269</v>
      </c>
      <c r="G55" s="204"/>
      <c r="H55" s="204"/>
      <c r="I55" s="204"/>
      <c r="J55" s="205"/>
      <c r="K55" s="202"/>
      <c r="L55" s="206"/>
      <c r="M55" s="204"/>
      <c r="N55" s="207"/>
      <c r="O55" s="207"/>
      <c r="P55" s="207"/>
      <c r="Q55" s="207"/>
      <c r="R55" s="207"/>
      <c r="S55" s="207"/>
      <c r="T55" s="9"/>
      <c r="U55" s="9"/>
      <c r="V55" s="9"/>
      <c r="W55" s="9"/>
      <c r="X55" s="9"/>
      <c r="Y55" s="9"/>
      <c r="Z55" s="9"/>
    </row>
    <row r="56" ht="19.5" customHeight="1">
      <c r="A56" s="201">
        <v>47.0</v>
      </c>
      <c r="B56" s="202" t="s">
        <v>266</v>
      </c>
      <c r="C56" s="201" t="s">
        <v>224</v>
      </c>
      <c r="D56" s="201" t="s">
        <v>225</v>
      </c>
      <c r="E56" s="201" t="s">
        <v>232</v>
      </c>
      <c r="F56" s="203" t="s">
        <v>233</v>
      </c>
      <c r="G56" s="204"/>
      <c r="H56" s="204"/>
      <c r="I56" s="204"/>
      <c r="J56" s="205"/>
      <c r="K56" s="202"/>
      <c r="L56" s="206"/>
      <c r="M56" s="204"/>
      <c r="N56" s="207"/>
      <c r="O56" s="207"/>
      <c r="P56" s="207"/>
      <c r="Q56" s="207"/>
      <c r="R56" s="207"/>
      <c r="S56" s="207"/>
      <c r="T56" s="9"/>
      <c r="U56" s="9"/>
      <c r="V56" s="9"/>
      <c r="W56" s="9"/>
      <c r="X56" s="9"/>
      <c r="Y56" s="9"/>
      <c r="Z56" s="9"/>
    </row>
    <row r="57" ht="19.5" customHeight="1">
      <c r="A57" s="201">
        <v>48.0</v>
      </c>
      <c r="B57" s="202" t="s">
        <v>266</v>
      </c>
      <c r="C57" s="201" t="s">
        <v>224</v>
      </c>
      <c r="D57" s="201" t="s">
        <v>225</v>
      </c>
      <c r="E57" s="201" t="s">
        <v>232</v>
      </c>
      <c r="F57" s="203" t="s">
        <v>234</v>
      </c>
      <c r="G57" s="204"/>
      <c r="H57" s="204"/>
      <c r="I57" s="204"/>
      <c r="J57" s="205"/>
      <c r="K57" s="202"/>
      <c r="L57" s="206"/>
      <c r="M57" s="204"/>
      <c r="N57" s="207"/>
      <c r="O57" s="207"/>
      <c r="P57" s="207"/>
      <c r="Q57" s="207"/>
      <c r="R57" s="207"/>
      <c r="S57" s="207"/>
      <c r="T57" s="9"/>
      <c r="U57" s="9"/>
      <c r="V57" s="9"/>
      <c r="W57" s="9"/>
      <c r="X57" s="9"/>
      <c r="Y57" s="9"/>
      <c r="Z57" s="9"/>
    </row>
    <row r="58" ht="19.5" customHeight="1">
      <c r="A58" s="201">
        <v>49.0</v>
      </c>
      <c r="B58" s="202" t="s">
        <v>266</v>
      </c>
      <c r="C58" s="201" t="s">
        <v>224</v>
      </c>
      <c r="D58" s="201" t="s">
        <v>225</v>
      </c>
      <c r="E58" s="201" t="s">
        <v>232</v>
      </c>
      <c r="F58" s="203" t="s">
        <v>270</v>
      </c>
      <c r="G58" s="204"/>
      <c r="H58" s="204"/>
      <c r="I58" s="204"/>
      <c r="J58" s="205"/>
      <c r="K58" s="202"/>
      <c r="L58" s="206"/>
      <c r="M58" s="204"/>
      <c r="N58" s="207"/>
      <c r="O58" s="207"/>
      <c r="P58" s="207"/>
      <c r="Q58" s="207"/>
      <c r="R58" s="207"/>
      <c r="S58" s="207"/>
      <c r="T58" s="9"/>
      <c r="U58" s="9"/>
      <c r="V58" s="9"/>
      <c r="W58" s="9"/>
      <c r="X58" s="9"/>
      <c r="Y58" s="9"/>
      <c r="Z58" s="9"/>
    </row>
    <row r="59" ht="19.5" customHeight="1">
      <c r="A59" s="208"/>
      <c r="B59" s="209"/>
      <c r="C59" s="208"/>
      <c r="D59" s="208"/>
      <c r="E59" s="208"/>
      <c r="F59" s="210"/>
      <c r="G59" s="211"/>
      <c r="H59" s="211"/>
      <c r="I59" s="211"/>
      <c r="J59" s="211"/>
      <c r="K59" s="211"/>
      <c r="L59" s="212"/>
      <c r="M59" s="209"/>
      <c r="N59" s="200"/>
      <c r="O59" s="200"/>
      <c r="P59" s="200"/>
      <c r="Q59" s="200"/>
      <c r="R59" s="200"/>
      <c r="S59" s="200"/>
      <c r="T59" s="9"/>
      <c r="U59" s="9"/>
      <c r="V59" s="9"/>
      <c r="W59" s="9"/>
      <c r="X59" s="9"/>
      <c r="Y59" s="9"/>
      <c r="Z59" s="9"/>
    </row>
    <row r="60" ht="19.5" customHeight="1">
      <c r="A60" s="201">
        <v>50.0</v>
      </c>
      <c r="B60" s="202" t="s">
        <v>271</v>
      </c>
      <c r="C60" s="201" t="s">
        <v>224</v>
      </c>
      <c r="D60" s="201" t="s">
        <v>225</v>
      </c>
      <c r="E60" s="201" t="s">
        <v>226</v>
      </c>
      <c r="F60" s="203" t="s">
        <v>272</v>
      </c>
      <c r="G60" s="204"/>
      <c r="H60" s="204"/>
      <c r="I60" s="204"/>
      <c r="J60" s="205"/>
      <c r="K60" s="202"/>
      <c r="L60" s="206"/>
      <c r="M60" s="202"/>
      <c r="N60" s="200"/>
      <c r="O60" s="200"/>
      <c r="P60" s="200"/>
      <c r="Q60" s="200"/>
      <c r="R60" s="200"/>
      <c r="S60" s="200"/>
      <c r="T60" s="9"/>
      <c r="U60" s="9"/>
      <c r="V60" s="9"/>
      <c r="W60" s="9"/>
      <c r="X60" s="9"/>
      <c r="Y60" s="9"/>
      <c r="Z60" s="9"/>
    </row>
    <row r="61" ht="19.5" customHeight="1">
      <c r="A61" s="201">
        <v>51.0</v>
      </c>
      <c r="B61" s="202" t="s">
        <v>271</v>
      </c>
      <c r="C61" s="201" t="s">
        <v>224</v>
      </c>
      <c r="D61" s="201" t="s">
        <v>225</v>
      </c>
      <c r="E61" s="201" t="s">
        <v>228</v>
      </c>
      <c r="F61" s="203" t="s">
        <v>273</v>
      </c>
      <c r="G61" s="204"/>
      <c r="H61" s="204"/>
      <c r="I61" s="204"/>
      <c r="J61" s="205"/>
      <c r="K61" s="202"/>
      <c r="L61" s="206"/>
      <c r="M61" s="204"/>
      <c r="N61" s="207"/>
      <c r="O61" s="207"/>
      <c r="P61" s="207"/>
      <c r="Q61" s="207"/>
      <c r="R61" s="207"/>
      <c r="S61" s="207"/>
      <c r="T61" s="9"/>
      <c r="U61" s="9"/>
      <c r="V61" s="9"/>
      <c r="W61" s="9"/>
      <c r="X61" s="9"/>
      <c r="Y61" s="9"/>
      <c r="Z61" s="9"/>
    </row>
    <row r="62" ht="19.5" customHeight="1">
      <c r="A62" s="201">
        <v>52.0</v>
      </c>
      <c r="B62" s="202" t="s">
        <v>271</v>
      </c>
      <c r="C62" s="201" t="s">
        <v>224</v>
      </c>
      <c r="D62" s="201" t="s">
        <v>225</v>
      </c>
      <c r="E62" s="201" t="s">
        <v>230</v>
      </c>
      <c r="F62" s="203" t="s">
        <v>274</v>
      </c>
      <c r="G62" s="204"/>
      <c r="H62" s="204"/>
      <c r="I62" s="204"/>
      <c r="J62" s="205"/>
      <c r="K62" s="202"/>
      <c r="L62" s="206"/>
      <c r="M62" s="204"/>
      <c r="N62" s="207"/>
      <c r="O62" s="207"/>
      <c r="P62" s="207"/>
      <c r="Q62" s="207"/>
      <c r="R62" s="207"/>
      <c r="S62" s="207"/>
      <c r="T62" s="9"/>
      <c r="U62" s="9"/>
      <c r="V62" s="9"/>
      <c r="W62" s="9"/>
      <c r="X62" s="9"/>
      <c r="Y62" s="9"/>
      <c r="Z62" s="9"/>
    </row>
    <row r="63" ht="19.5" customHeight="1">
      <c r="A63" s="201">
        <v>53.0</v>
      </c>
      <c r="B63" s="202" t="s">
        <v>271</v>
      </c>
      <c r="C63" s="201" t="s">
        <v>224</v>
      </c>
      <c r="D63" s="201" t="s">
        <v>225</v>
      </c>
      <c r="E63" s="201" t="s">
        <v>232</v>
      </c>
      <c r="F63" s="203" t="s">
        <v>233</v>
      </c>
      <c r="G63" s="204"/>
      <c r="H63" s="204"/>
      <c r="I63" s="204"/>
      <c r="J63" s="205"/>
      <c r="K63" s="202"/>
      <c r="L63" s="206"/>
      <c r="M63" s="204"/>
      <c r="N63" s="207"/>
      <c r="O63" s="207"/>
      <c r="P63" s="207"/>
      <c r="Q63" s="207"/>
      <c r="R63" s="207"/>
      <c r="S63" s="207"/>
      <c r="T63" s="9"/>
      <c r="U63" s="9"/>
      <c r="V63" s="9"/>
      <c r="W63" s="9"/>
      <c r="X63" s="9"/>
      <c r="Y63" s="9"/>
      <c r="Z63" s="9"/>
    </row>
    <row r="64" ht="19.5" customHeight="1">
      <c r="A64" s="201">
        <v>54.0</v>
      </c>
      <c r="B64" s="202" t="s">
        <v>271</v>
      </c>
      <c r="C64" s="201" t="s">
        <v>224</v>
      </c>
      <c r="D64" s="201" t="s">
        <v>225</v>
      </c>
      <c r="E64" s="201" t="s">
        <v>232</v>
      </c>
      <c r="F64" s="203" t="s">
        <v>234</v>
      </c>
      <c r="G64" s="204"/>
      <c r="H64" s="204"/>
      <c r="I64" s="204"/>
      <c r="J64" s="205"/>
      <c r="K64" s="202"/>
      <c r="L64" s="206"/>
      <c r="M64" s="204"/>
      <c r="N64" s="207"/>
      <c r="O64" s="207"/>
      <c r="P64" s="207"/>
      <c r="Q64" s="207"/>
      <c r="R64" s="207"/>
      <c r="S64" s="207"/>
      <c r="T64" s="9"/>
      <c r="U64" s="9"/>
      <c r="V64" s="9"/>
      <c r="W64" s="9"/>
      <c r="X64" s="9"/>
      <c r="Y64" s="9"/>
      <c r="Z64" s="9"/>
    </row>
    <row r="65" ht="19.5" customHeight="1">
      <c r="A65" s="201">
        <v>55.0</v>
      </c>
      <c r="B65" s="202" t="s">
        <v>271</v>
      </c>
      <c r="C65" s="201" t="s">
        <v>224</v>
      </c>
      <c r="D65" s="201" t="s">
        <v>225</v>
      </c>
      <c r="E65" s="201" t="s">
        <v>232</v>
      </c>
      <c r="F65" s="203" t="s">
        <v>275</v>
      </c>
      <c r="G65" s="204"/>
      <c r="H65" s="204"/>
      <c r="I65" s="204"/>
      <c r="J65" s="205"/>
      <c r="K65" s="202"/>
      <c r="L65" s="206"/>
      <c r="M65" s="204"/>
      <c r="N65" s="207"/>
      <c r="O65" s="207"/>
      <c r="P65" s="207"/>
      <c r="Q65" s="207"/>
      <c r="R65" s="207"/>
      <c r="S65" s="207"/>
      <c r="T65" s="9"/>
      <c r="U65" s="9"/>
      <c r="V65" s="9"/>
      <c r="W65" s="9"/>
      <c r="X65" s="9"/>
      <c r="Y65" s="9"/>
      <c r="Z65" s="9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M2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18.29"/>
    <col customWidth="1" min="3" max="3" width="11.43"/>
    <col customWidth="1" min="4" max="4" width="8.0"/>
    <col customWidth="1" min="5" max="5" width="32.71"/>
    <col customWidth="1" min="6" max="6" width="70.71"/>
    <col customWidth="1" min="7" max="7" width="18.71"/>
    <col customWidth="1" min="8" max="9" width="8.71"/>
    <col customWidth="1" min="10" max="11" width="12.71"/>
    <col customWidth="1" min="12" max="12" width="20.0"/>
    <col customWidth="1" min="13" max="13" width="18.43"/>
    <col customWidth="1" min="14" max="26" width="9.14"/>
  </cols>
  <sheetData>
    <row r="1">
      <c r="A1" s="9"/>
      <c r="B1" s="9"/>
      <c r="C1" s="9"/>
      <c r="D1" s="9"/>
      <c r="E1" s="217"/>
      <c r="F1" s="9"/>
      <c r="G1" s="119"/>
      <c r="H1" s="119"/>
      <c r="I1" s="119"/>
      <c r="J1" s="11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1.75" customHeight="1">
      <c r="A2" s="218" t="s">
        <v>276</v>
      </c>
      <c r="B2" s="107"/>
      <c r="C2" s="107"/>
      <c r="D2" s="107"/>
      <c r="E2" s="107"/>
      <c r="F2" s="107"/>
      <c r="G2" s="119"/>
      <c r="H2" s="119"/>
      <c r="I2" s="119"/>
      <c r="J2" s="11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ht="31.5" customHeight="1">
      <c r="A3" s="198" t="s">
        <v>152</v>
      </c>
      <c r="B3" s="198" t="s">
        <v>154</v>
      </c>
      <c r="C3" s="198" t="s">
        <v>213</v>
      </c>
      <c r="D3" s="198" t="s">
        <v>214</v>
      </c>
      <c r="E3" s="198" t="s">
        <v>215</v>
      </c>
      <c r="F3" s="198" t="s">
        <v>216</v>
      </c>
      <c r="G3" s="198" t="s">
        <v>217</v>
      </c>
      <c r="H3" s="198" t="s">
        <v>218</v>
      </c>
      <c r="I3" s="198" t="s">
        <v>219</v>
      </c>
      <c r="J3" s="198" t="s">
        <v>220</v>
      </c>
      <c r="K3" s="198" t="s">
        <v>277</v>
      </c>
      <c r="L3" s="198" t="s">
        <v>222</v>
      </c>
      <c r="M3" s="198" t="s">
        <v>158</v>
      </c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19.5" customHeight="1">
      <c r="A4" s="219" t="s">
        <v>278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43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ht="19.5" customHeight="1">
      <c r="A5" s="201">
        <v>1.0</v>
      </c>
      <c r="B5" s="220" t="s">
        <v>176</v>
      </c>
      <c r="C5" s="201" t="s">
        <v>279</v>
      </c>
      <c r="D5" s="201" t="s">
        <v>225</v>
      </c>
      <c r="E5" s="202" t="s">
        <v>280</v>
      </c>
      <c r="F5" s="221" t="s">
        <v>281</v>
      </c>
      <c r="G5" s="221"/>
      <c r="H5" s="221"/>
      <c r="I5" s="221"/>
      <c r="J5" s="221"/>
      <c r="K5" s="221"/>
      <c r="L5" s="216"/>
      <c r="M5" s="222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ht="19.5" customHeight="1">
      <c r="A6" s="201">
        <f t="shared" ref="A6:A15" si="1">A5+1</f>
        <v>2</v>
      </c>
      <c r="B6" s="54"/>
      <c r="C6" s="201" t="s">
        <v>279</v>
      </c>
      <c r="D6" s="201" t="s">
        <v>225</v>
      </c>
      <c r="E6" s="202"/>
      <c r="F6" s="223" t="s">
        <v>282</v>
      </c>
      <c r="G6" s="221"/>
      <c r="H6" s="221"/>
      <c r="I6" s="221"/>
      <c r="J6" s="221"/>
      <c r="K6" s="221"/>
      <c r="L6" s="216"/>
      <c r="M6" s="222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ht="19.5" customHeight="1">
      <c r="A7" s="201">
        <f t="shared" si="1"/>
        <v>3</v>
      </c>
      <c r="B7" s="59"/>
      <c r="C7" s="201" t="s">
        <v>279</v>
      </c>
      <c r="D7" s="201" t="s">
        <v>225</v>
      </c>
      <c r="E7" s="202"/>
      <c r="F7" s="223" t="s">
        <v>283</v>
      </c>
      <c r="G7" s="221"/>
      <c r="H7" s="221"/>
      <c r="I7" s="221"/>
      <c r="J7" s="221"/>
      <c r="K7" s="221"/>
      <c r="L7" s="216"/>
      <c r="M7" s="222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ht="19.5" customHeight="1">
      <c r="A8" s="201">
        <f t="shared" si="1"/>
        <v>4</v>
      </c>
      <c r="B8" s="220" t="s">
        <v>284</v>
      </c>
      <c r="C8" s="201" t="s">
        <v>279</v>
      </c>
      <c r="D8" s="201" t="s">
        <v>225</v>
      </c>
      <c r="E8" s="202"/>
      <c r="F8" s="223" t="s">
        <v>281</v>
      </c>
      <c r="G8" s="221"/>
      <c r="H8" s="221"/>
      <c r="I8" s="221"/>
      <c r="J8" s="221"/>
      <c r="K8" s="221"/>
      <c r="L8" s="216" t="s">
        <v>285</v>
      </c>
      <c r="M8" s="222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ht="19.5" customHeight="1">
      <c r="A9" s="201">
        <f t="shared" si="1"/>
        <v>5</v>
      </c>
      <c r="B9" s="54"/>
      <c r="C9" s="201" t="s">
        <v>279</v>
      </c>
      <c r="D9" s="201" t="s">
        <v>225</v>
      </c>
      <c r="E9" s="202"/>
      <c r="F9" s="223" t="s">
        <v>286</v>
      </c>
      <c r="G9" s="221"/>
      <c r="H9" s="221"/>
      <c r="I9" s="221"/>
      <c r="J9" s="221"/>
      <c r="K9" s="221"/>
      <c r="L9" s="216"/>
      <c r="M9" s="222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ht="19.5" customHeight="1">
      <c r="A10" s="201">
        <f t="shared" si="1"/>
        <v>6</v>
      </c>
      <c r="B10" s="54"/>
      <c r="C10" s="201" t="s">
        <v>279</v>
      </c>
      <c r="D10" s="201" t="s">
        <v>225</v>
      </c>
      <c r="E10" s="202"/>
      <c r="F10" s="223" t="s">
        <v>287</v>
      </c>
      <c r="G10" s="221"/>
      <c r="H10" s="221"/>
      <c r="I10" s="221"/>
      <c r="J10" s="221"/>
      <c r="K10" s="221"/>
      <c r="L10" s="216"/>
      <c r="M10" s="222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9.5" customHeight="1">
      <c r="A11" s="201">
        <f t="shared" si="1"/>
        <v>7</v>
      </c>
      <c r="B11" s="54"/>
      <c r="C11" s="201" t="s">
        <v>279</v>
      </c>
      <c r="D11" s="201" t="s">
        <v>225</v>
      </c>
      <c r="E11" s="202"/>
      <c r="F11" s="223" t="s">
        <v>288</v>
      </c>
      <c r="G11" s="221"/>
      <c r="H11" s="221"/>
      <c r="I11" s="221"/>
      <c r="J11" s="221"/>
      <c r="K11" s="221"/>
      <c r="L11" s="216"/>
      <c r="M11" s="222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ht="19.5" customHeight="1">
      <c r="A12" s="201">
        <f t="shared" si="1"/>
        <v>8</v>
      </c>
      <c r="B12" s="54"/>
      <c r="C12" s="201" t="s">
        <v>279</v>
      </c>
      <c r="D12" s="201" t="s">
        <v>225</v>
      </c>
      <c r="E12" s="202"/>
      <c r="F12" s="223" t="s">
        <v>289</v>
      </c>
      <c r="G12" s="221"/>
      <c r="H12" s="221"/>
      <c r="I12" s="221"/>
      <c r="J12" s="221"/>
      <c r="K12" s="221"/>
      <c r="L12" s="216"/>
      <c r="M12" s="222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ht="19.5" customHeight="1">
      <c r="A13" s="201">
        <f t="shared" si="1"/>
        <v>9</v>
      </c>
      <c r="B13" s="59"/>
      <c r="C13" s="201" t="s">
        <v>279</v>
      </c>
      <c r="D13" s="201" t="s">
        <v>225</v>
      </c>
      <c r="E13" s="202"/>
      <c r="F13" s="223" t="s">
        <v>290</v>
      </c>
      <c r="G13" s="221"/>
      <c r="H13" s="221"/>
      <c r="I13" s="221"/>
      <c r="J13" s="221"/>
      <c r="K13" s="221"/>
      <c r="L13" s="216"/>
      <c r="M13" s="222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ht="19.5" customHeight="1">
      <c r="A14" s="201">
        <f t="shared" si="1"/>
        <v>10</v>
      </c>
      <c r="B14" s="220" t="s">
        <v>178</v>
      </c>
      <c r="C14" s="201" t="s">
        <v>279</v>
      </c>
      <c r="D14" s="201" t="s">
        <v>225</v>
      </c>
      <c r="E14" s="202"/>
      <c r="F14" s="223" t="s">
        <v>291</v>
      </c>
      <c r="G14" s="221"/>
      <c r="H14" s="221"/>
      <c r="I14" s="221"/>
      <c r="J14" s="221"/>
      <c r="K14" s="221"/>
      <c r="L14" s="216"/>
      <c r="M14" s="222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ht="19.5" customHeight="1">
      <c r="A15" s="201">
        <f t="shared" si="1"/>
        <v>11</v>
      </c>
      <c r="B15" s="54"/>
      <c r="C15" s="201" t="s">
        <v>279</v>
      </c>
      <c r="D15" s="201" t="s">
        <v>225</v>
      </c>
      <c r="E15" s="202" t="s">
        <v>292</v>
      </c>
      <c r="F15" s="221" t="s">
        <v>293</v>
      </c>
      <c r="G15" s="221"/>
      <c r="H15" s="221"/>
      <c r="I15" s="221"/>
      <c r="J15" s="221"/>
      <c r="K15" s="221"/>
      <c r="L15" s="216"/>
      <c r="M15" s="222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ht="19.5" customHeight="1">
      <c r="A16" s="201">
        <f>A14+1</f>
        <v>11</v>
      </c>
      <c r="B16" s="54"/>
      <c r="C16" s="201" t="s">
        <v>279</v>
      </c>
      <c r="D16" s="201" t="s">
        <v>225</v>
      </c>
      <c r="E16" s="202"/>
      <c r="F16" s="223" t="s">
        <v>294</v>
      </c>
      <c r="G16" s="221"/>
      <c r="H16" s="221"/>
      <c r="I16" s="221"/>
      <c r="J16" s="221"/>
      <c r="K16" s="221"/>
      <c r="L16" s="216"/>
      <c r="M16" s="222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ht="19.5" customHeight="1">
      <c r="A17" s="201">
        <f t="shared" ref="A17:A23" si="2">A16+1</f>
        <v>12</v>
      </c>
      <c r="B17" s="59"/>
      <c r="C17" s="201" t="s">
        <v>279</v>
      </c>
      <c r="D17" s="201" t="s">
        <v>225</v>
      </c>
      <c r="E17" s="202" t="s">
        <v>292</v>
      </c>
      <c r="F17" s="221" t="s">
        <v>295</v>
      </c>
      <c r="G17" s="221"/>
      <c r="H17" s="221"/>
      <c r="I17" s="221"/>
      <c r="J17" s="221"/>
      <c r="K17" s="221"/>
      <c r="L17" s="216"/>
      <c r="M17" s="222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ht="19.5" customHeight="1">
      <c r="A18" s="201">
        <f t="shared" si="2"/>
        <v>13</v>
      </c>
      <c r="B18" s="220" t="s">
        <v>180</v>
      </c>
      <c r="C18" s="201" t="s">
        <v>279</v>
      </c>
      <c r="D18" s="201" t="s">
        <v>225</v>
      </c>
      <c r="E18" s="202"/>
      <c r="F18" s="223" t="s">
        <v>296</v>
      </c>
      <c r="G18" s="221"/>
      <c r="H18" s="221"/>
      <c r="I18" s="221"/>
      <c r="J18" s="221"/>
      <c r="K18" s="221"/>
      <c r="L18" s="216"/>
      <c r="M18" s="222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ht="19.5" customHeight="1">
      <c r="A19" s="201">
        <f t="shared" si="2"/>
        <v>14</v>
      </c>
      <c r="B19" s="54"/>
      <c r="C19" s="201" t="s">
        <v>279</v>
      </c>
      <c r="D19" s="201" t="s">
        <v>225</v>
      </c>
      <c r="E19" s="202"/>
      <c r="F19" s="223" t="s">
        <v>297</v>
      </c>
      <c r="G19" s="221"/>
      <c r="H19" s="221"/>
      <c r="I19" s="221"/>
      <c r="J19" s="221"/>
      <c r="K19" s="221"/>
      <c r="L19" s="216"/>
      <c r="M19" s="222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19.5" customHeight="1">
      <c r="A20" s="201">
        <f t="shared" si="2"/>
        <v>15</v>
      </c>
      <c r="B20" s="54"/>
      <c r="C20" s="201" t="s">
        <v>279</v>
      </c>
      <c r="D20" s="201" t="s">
        <v>225</v>
      </c>
      <c r="E20" s="202"/>
      <c r="F20" s="223" t="s">
        <v>298</v>
      </c>
      <c r="G20" s="221"/>
      <c r="H20" s="221"/>
      <c r="I20" s="221"/>
      <c r="J20" s="221"/>
      <c r="K20" s="221"/>
      <c r="L20" s="216"/>
      <c r="M20" s="222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9.5" customHeight="1">
      <c r="A21" s="201">
        <f t="shared" si="2"/>
        <v>16</v>
      </c>
      <c r="B21" s="54"/>
      <c r="C21" s="201" t="s">
        <v>279</v>
      </c>
      <c r="D21" s="201" t="s">
        <v>225</v>
      </c>
      <c r="E21" s="202"/>
      <c r="F21" s="223" t="s">
        <v>299</v>
      </c>
      <c r="G21" s="221"/>
      <c r="H21" s="221"/>
      <c r="I21" s="221"/>
      <c r="J21" s="221"/>
      <c r="K21" s="221"/>
      <c r="L21" s="216"/>
      <c r="M21" s="222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9.5" customHeight="1">
      <c r="A22" s="201">
        <f t="shared" si="2"/>
        <v>17</v>
      </c>
      <c r="B22" s="54"/>
      <c r="C22" s="201" t="s">
        <v>279</v>
      </c>
      <c r="D22" s="201" t="s">
        <v>225</v>
      </c>
      <c r="E22" s="202"/>
      <c r="F22" s="223" t="s">
        <v>300</v>
      </c>
      <c r="G22" s="221"/>
      <c r="H22" s="221"/>
      <c r="I22" s="221"/>
      <c r="J22" s="221"/>
      <c r="K22" s="221"/>
      <c r="L22" s="216"/>
      <c r="M22" s="222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9.5" customHeight="1">
      <c r="A23" s="201">
        <f t="shared" si="2"/>
        <v>18</v>
      </c>
      <c r="B23" s="59"/>
      <c r="C23" s="201" t="s">
        <v>279</v>
      </c>
      <c r="D23" s="201" t="s">
        <v>225</v>
      </c>
      <c r="E23" s="202"/>
      <c r="F23" s="224" t="s">
        <v>301</v>
      </c>
      <c r="G23" s="221"/>
      <c r="H23" s="221"/>
      <c r="I23" s="221"/>
      <c r="J23" s="221"/>
      <c r="K23" s="221"/>
      <c r="L23" s="216"/>
      <c r="M23" s="222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9.5" customHeight="1">
      <c r="A24" s="219" t="s">
        <v>302</v>
      </c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43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9.5" customHeight="1">
      <c r="A25" s="201">
        <f>A23+1</f>
        <v>19</v>
      </c>
      <c r="B25" s="225" t="s">
        <v>175</v>
      </c>
      <c r="C25" s="201" t="s">
        <v>167</v>
      </c>
      <c r="D25" s="201" t="s">
        <v>225</v>
      </c>
      <c r="E25" s="201"/>
      <c r="F25" s="224" t="s">
        <v>303</v>
      </c>
      <c r="G25" s="226"/>
      <c r="H25" s="226"/>
      <c r="I25" s="226"/>
      <c r="J25" s="226"/>
      <c r="K25" s="227"/>
      <c r="L25" s="216"/>
      <c r="M25" s="216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9.5" customHeight="1">
      <c r="A26" s="201">
        <v>20.0</v>
      </c>
      <c r="B26" s="54"/>
      <c r="C26" s="201" t="s">
        <v>167</v>
      </c>
      <c r="D26" s="201" t="s">
        <v>225</v>
      </c>
      <c r="E26" s="201"/>
      <c r="F26" s="224" t="s">
        <v>304</v>
      </c>
      <c r="G26" s="226"/>
      <c r="H26" s="226"/>
      <c r="I26" s="226"/>
      <c r="J26" s="226"/>
      <c r="K26" s="227"/>
      <c r="L26" s="216"/>
      <c r="M26" s="216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9.5" customHeight="1">
      <c r="A27" s="201">
        <v>21.0</v>
      </c>
      <c r="B27" s="59"/>
      <c r="C27" s="201" t="s">
        <v>167</v>
      </c>
      <c r="D27" s="201" t="s">
        <v>225</v>
      </c>
      <c r="E27" s="201"/>
      <c r="F27" s="224" t="s">
        <v>305</v>
      </c>
      <c r="G27" s="226"/>
      <c r="H27" s="226"/>
      <c r="I27" s="226"/>
      <c r="J27" s="226"/>
      <c r="K27" s="227"/>
      <c r="L27" s="216"/>
      <c r="M27" s="216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9.5" customHeight="1">
      <c r="A28" s="201">
        <v>22.0</v>
      </c>
      <c r="B28" s="202" t="s">
        <v>176</v>
      </c>
      <c r="C28" s="201" t="s">
        <v>167</v>
      </c>
      <c r="D28" s="201" t="s">
        <v>225</v>
      </c>
      <c r="E28" s="201"/>
      <c r="F28" s="224" t="s">
        <v>306</v>
      </c>
      <c r="G28" s="226"/>
      <c r="H28" s="226"/>
      <c r="I28" s="226"/>
      <c r="J28" s="226"/>
      <c r="K28" s="227"/>
      <c r="L28" s="216"/>
      <c r="M28" s="216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9.5" customHeight="1">
      <c r="A29" s="201">
        <v>23.0</v>
      </c>
      <c r="B29" s="225" t="s">
        <v>178</v>
      </c>
      <c r="C29" s="201" t="s">
        <v>167</v>
      </c>
      <c r="D29" s="201" t="s">
        <v>225</v>
      </c>
      <c r="E29" s="202"/>
      <c r="F29" s="223" t="s">
        <v>307</v>
      </c>
      <c r="G29" s="226"/>
      <c r="H29" s="226"/>
      <c r="I29" s="226"/>
      <c r="J29" s="226"/>
      <c r="K29" s="227"/>
      <c r="L29" s="216"/>
      <c r="M29" s="216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9.5" customHeight="1">
      <c r="A30" s="201">
        <v>24.0</v>
      </c>
      <c r="B30" s="59"/>
      <c r="C30" s="201" t="s">
        <v>167</v>
      </c>
      <c r="D30" s="201" t="s">
        <v>225</v>
      </c>
      <c r="E30" s="201"/>
      <c r="F30" s="224" t="s">
        <v>308</v>
      </c>
      <c r="G30" s="226"/>
      <c r="H30" s="226"/>
      <c r="I30" s="226"/>
      <c r="J30" s="226"/>
      <c r="K30" s="227"/>
      <c r="L30" s="216"/>
      <c r="M30" s="216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9.5" customHeight="1">
      <c r="A31" s="201">
        <v>25.0</v>
      </c>
      <c r="B31" s="202" t="s">
        <v>180</v>
      </c>
      <c r="C31" s="201" t="s">
        <v>167</v>
      </c>
      <c r="D31" s="201" t="s">
        <v>225</v>
      </c>
      <c r="E31" s="201"/>
      <c r="F31" s="224" t="s">
        <v>309</v>
      </c>
      <c r="G31" s="226"/>
      <c r="H31" s="226"/>
      <c r="I31" s="226"/>
      <c r="J31" s="226"/>
      <c r="K31" s="227"/>
      <c r="L31" s="216"/>
      <c r="M31" s="216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9.5" customHeight="1">
      <c r="A32" s="201">
        <v>26.0</v>
      </c>
      <c r="B32" s="202" t="s">
        <v>310</v>
      </c>
      <c r="C32" s="201" t="s">
        <v>167</v>
      </c>
      <c r="D32" s="201" t="s">
        <v>225</v>
      </c>
      <c r="E32" s="201"/>
      <c r="F32" s="224" t="s">
        <v>311</v>
      </c>
      <c r="G32" s="226"/>
      <c r="H32" s="226"/>
      <c r="I32" s="226"/>
      <c r="J32" s="226"/>
      <c r="K32" s="227"/>
      <c r="L32" s="216"/>
      <c r="M32" s="216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9.5" customHeight="1">
      <c r="A33" s="201">
        <v>27.0</v>
      </c>
      <c r="B33" s="202" t="s">
        <v>256</v>
      </c>
      <c r="C33" s="201" t="s">
        <v>167</v>
      </c>
      <c r="D33" s="201" t="s">
        <v>225</v>
      </c>
      <c r="E33" s="201"/>
      <c r="F33" s="224" t="s">
        <v>312</v>
      </c>
      <c r="G33" s="226"/>
      <c r="H33" s="226"/>
      <c r="I33" s="226"/>
      <c r="J33" s="226"/>
      <c r="K33" s="227"/>
      <c r="L33" s="216"/>
      <c r="M33" s="216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9.5" customHeight="1">
      <c r="A34" s="201">
        <v>28.0</v>
      </c>
      <c r="B34" s="202" t="s">
        <v>271</v>
      </c>
      <c r="C34" s="201" t="s">
        <v>167</v>
      </c>
      <c r="D34" s="201" t="s">
        <v>225</v>
      </c>
      <c r="E34" s="201" t="s">
        <v>313</v>
      </c>
      <c r="F34" s="226" t="s">
        <v>314</v>
      </c>
      <c r="G34" s="226"/>
      <c r="H34" s="226"/>
      <c r="I34" s="226"/>
      <c r="J34" s="226"/>
      <c r="K34" s="227"/>
      <c r="L34" s="216"/>
      <c r="M34" s="216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9.5" customHeight="1">
      <c r="A35" s="201">
        <v>29.0</v>
      </c>
      <c r="B35" s="202" t="s">
        <v>177</v>
      </c>
      <c r="C35" s="201" t="s">
        <v>167</v>
      </c>
      <c r="D35" s="201" t="s">
        <v>225</v>
      </c>
      <c r="E35" s="201"/>
      <c r="F35" s="224" t="s">
        <v>315</v>
      </c>
      <c r="G35" s="226"/>
      <c r="H35" s="226"/>
      <c r="I35" s="226"/>
      <c r="J35" s="226"/>
      <c r="K35" s="227"/>
      <c r="L35" s="216"/>
      <c r="M35" s="216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9.5" customHeight="1">
      <c r="A36" s="219" t="s">
        <v>316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43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9.5" customHeight="1">
      <c r="A37" s="201">
        <f>A35+1</f>
        <v>30</v>
      </c>
      <c r="B37" s="202" t="s">
        <v>317</v>
      </c>
      <c r="C37" s="201" t="s">
        <v>224</v>
      </c>
      <c r="D37" s="201" t="s">
        <v>225</v>
      </c>
      <c r="E37" s="201" t="s">
        <v>318</v>
      </c>
      <c r="F37" s="224" t="s">
        <v>319</v>
      </c>
      <c r="G37" s="226"/>
      <c r="H37" s="226"/>
      <c r="I37" s="226"/>
      <c r="J37" s="226"/>
      <c r="K37" s="226"/>
      <c r="L37" s="226"/>
      <c r="M37" s="226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9.5" customHeight="1">
      <c r="A38" s="201">
        <f t="shared" ref="A38:A41" si="3">A37+1</f>
        <v>31</v>
      </c>
      <c r="B38" s="202" t="s">
        <v>317</v>
      </c>
      <c r="C38" s="201" t="s">
        <v>224</v>
      </c>
      <c r="D38" s="201" t="s">
        <v>225</v>
      </c>
      <c r="E38" s="201" t="s">
        <v>320</v>
      </c>
      <c r="F38" s="224" t="s">
        <v>321</v>
      </c>
      <c r="G38" s="226"/>
      <c r="H38" s="226"/>
      <c r="I38" s="226"/>
      <c r="J38" s="226"/>
      <c r="K38" s="226"/>
      <c r="L38" s="226"/>
      <c r="M38" s="226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9.5" customHeight="1">
      <c r="A39" s="201">
        <f t="shared" si="3"/>
        <v>32</v>
      </c>
      <c r="B39" s="202" t="s">
        <v>317</v>
      </c>
      <c r="C39" s="201" t="s">
        <v>224</v>
      </c>
      <c r="D39" s="201" t="s">
        <v>225</v>
      </c>
      <c r="E39" s="201" t="s">
        <v>228</v>
      </c>
      <c r="F39" s="224" t="s">
        <v>322</v>
      </c>
      <c r="G39" s="226"/>
      <c r="H39" s="226"/>
      <c r="I39" s="226"/>
      <c r="J39" s="226"/>
      <c r="K39" s="226"/>
      <c r="L39" s="226"/>
      <c r="M39" s="226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9.5" customHeight="1">
      <c r="A40" s="201">
        <f t="shared" si="3"/>
        <v>33</v>
      </c>
      <c r="B40" s="202" t="s">
        <v>317</v>
      </c>
      <c r="C40" s="201" t="s">
        <v>224</v>
      </c>
      <c r="D40" s="201" t="s">
        <v>225</v>
      </c>
      <c r="E40" s="201" t="s">
        <v>323</v>
      </c>
      <c r="F40" s="224" t="s">
        <v>324</v>
      </c>
      <c r="G40" s="226"/>
      <c r="H40" s="226"/>
      <c r="I40" s="226"/>
      <c r="J40" s="226"/>
      <c r="K40" s="226"/>
      <c r="L40" s="226"/>
      <c r="M40" s="226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9.5" customHeight="1">
      <c r="A41" s="201">
        <f t="shared" si="3"/>
        <v>34</v>
      </c>
      <c r="B41" s="202" t="s">
        <v>317</v>
      </c>
      <c r="C41" s="201" t="s">
        <v>224</v>
      </c>
      <c r="D41" s="201" t="s">
        <v>225</v>
      </c>
      <c r="E41" s="201" t="s">
        <v>232</v>
      </c>
      <c r="F41" s="224" t="s">
        <v>325</v>
      </c>
      <c r="G41" s="226"/>
      <c r="H41" s="226"/>
      <c r="I41" s="226"/>
      <c r="J41" s="226"/>
      <c r="K41" s="226"/>
      <c r="L41" s="226"/>
      <c r="M41" s="226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9.5" customHeight="1">
      <c r="A42" s="219" t="s">
        <v>326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43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9.5" customHeight="1">
      <c r="A43" s="201">
        <f>A41+1</f>
        <v>35</v>
      </c>
      <c r="B43" s="202" t="s">
        <v>327</v>
      </c>
      <c r="C43" s="201" t="s">
        <v>224</v>
      </c>
      <c r="D43" s="201" t="s">
        <v>225</v>
      </c>
      <c r="E43" s="201" t="s">
        <v>318</v>
      </c>
      <c r="F43" s="224" t="s">
        <v>328</v>
      </c>
      <c r="G43" s="226"/>
      <c r="H43" s="226"/>
      <c r="I43" s="226"/>
      <c r="J43" s="226"/>
      <c r="K43" s="226"/>
      <c r="L43" s="226"/>
      <c r="M43" s="226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9.5" customHeight="1">
      <c r="A44" s="201">
        <f t="shared" ref="A44:A47" si="4">A43+1</f>
        <v>36</v>
      </c>
      <c r="B44" s="202" t="s">
        <v>327</v>
      </c>
      <c r="C44" s="201" t="s">
        <v>224</v>
      </c>
      <c r="D44" s="201" t="s">
        <v>225</v>
      </c>
      <c r="E44" s="201" t="s">
        <v>320</v>
      </c>
      <c r="F44" s="224" t="s">
        <v>329</v>
      </c>
      <c r="G44" s="226"/>
      <c r="H44" s="226"/>
      <c r="I44" s="226"/>
      <c r="J44" s="226"/>
      <c r="K44" s="226"/>
      <c r="L44" s="226"/>
      <c r="M44" s="226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9.5" customHeight="1">
      <c r="A45" s="201">
        <f t="shared" si="4"/>
        <v>37</v>
      </c>
      <c r="B45" s="202" t="s">
        <v>327</v>
      </c>
      <c r="C45" s="201" t="s">
        <v>224</v>
      </c>
      <c r="D45" s="201" t="s">
        <v>225</v>
      </c>
      <c r="E45" s="201" t="s">
        <v>228</v>
      </c>
      <c r="F45" s="224" t="s">
        <v>330</v>
      </c>
      <c r="G45" s="226"/>
      <c r="H45" s="226"/>
      <c r="I45" s="226"/>
      <c r="J45" s="226"/>
      <c r="K45" s="226"/>
      <c r="L45" s="226"/>
      <c r="M45" s="226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9.5" customHeight="1">
      <c r="A46" s="201">
        <f t="shared" si="4"/>
        <v>38</v>
      </c>
      <c r="B46" s="202" t="s">
        <v>327</v>
      </c>
      <c r="C46" s="201" t="s">
        <v>224</v>
      </c>
      <c r="D46" s="201" t="s">
        <v>225</v>
      </c>
      <c r="E46" s="201" t="s">
        <v>323</v>
      </c>
      <c r="F46" s="224" t="s">
        <v>331</v>
      </c>
      <c r="G46" s="226"/>
      <c r="H46" s="226"/>
      <c r="I46" s="226"/>
      <c r="J46" s="226"/>
      <c r="K46" s="226"/>
      <c r="L46" s="226"/>
      <c r="M46" s="226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9.5" customHeight="1">
      <c r="A47" s="201">
        <f t="shared" si="4"/>
        <v>39</v>
      </c>
      <c r="B47" s="202" t="s">
        <v>327</v>
      </c>
      <c r="C47" s="201" t="s">
        <v>224</v>
      </c>
      <c r="D47" s="201" t="s">
        <v>225</v>
      </c>
      <c r="E47" s="201" t="s">
        <v>232</v>
      </c>
      <c r="F47" s="224" t="s">
        <v>332</v>
      </c>
      <c r="G47" s="226"/>
      <c r="H47" s="226"/>
      <c r="I47" s="226"/>
      <c r="J47" s="226"/>
      <c r="K47" s="226"/>
      <c r="L47" s="226"/>
      <c r="M47" s="226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9.5" customHeight="1">
      <c r="A48" s="219" t="s">
        <v>333</v>
      </c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43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9.5" customHeight="1">
      <c r="A49" s="201">
        <f>A47+1</f>
        <v>40</v>
      </c>
      <c r="B49" s="202" t="s">
        <v>178</v>
      </c>
      <c r="C49" s="201" t="s">
        <v>224</v>
      </c>
      <c r="D49" s="201" t="s">
        <v>225</v>
      </c>
      <c r="E49" s="201" t="s">
        <v>320</v>
      </c>
      <c r="F49" s="224" t="s">
        <v>334</v>
      </c>
      <c r="G49" s="226"/>
      <c r="H49" s="226"/>
      <c r="I49" s="226"/>
      <c r="J49" s="226"/>
      <c r="K49" s="226"/>
      <c r="L49" s="228"/>
      <c r="M49" s="227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9.5" customHeight="1">
      <c r="A50" s="201">
        <f t="shared" ref="A50:A52" si="5">A49+1</f>
        <v>41</v>
      </c>
      <c r="B50" s="202" t="s">
        <v>178</v>
      </c>
      <c r="C50" s="201" t="s">
        <v>224</v>
      </c>
      <c r="D50" s="201" t="s">
        <v>225</v>
      </c>
      <c r="E50" s="201" t="s">
        <v>228</v>
      </c>
      <c r="F50" s="224" t="s">
        <v>243</v>
      </c>
      <c r="G50" s="226"/>
      <c r="H50" s="226"/>
      <c r="I50" s="226"/>
      <c r="J50" s="226"/>
      <c r="K50" s="226"/>
      <c r="L50" s="226"/>
      <c r="M50" s="226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9.5" customHeight="1">
      <c r="A51" s="201">
        <f t="shared" si="5"/>
        <v>42</v>
      </c>
      <c r="B51" s="202" t="s">
        <v>178</v>
      </c>
      <c r="C51" s="201" t="s">
        <v>224</v>
      </c>
      <c r="D51" s="201" t="s">
        <v>225</v>
      </c>
      <c r="E51" s="201" t="s">
        <v>323</v>
      </c>
      <c r="F51" s="224" t="s">
        <v>335</v>
      </c>
      <c r="G51" s="226"/>
      <c r="H51" s="226"/>
      <c r="I51" s="226"/>
      <c r="J51" s="226"/>
      <c r="K51" s="226"/>
      <c r="L51" s="226"/>
      <c r="M51" s="226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9.5" customHeight="1">
      <c r="A52" s="201">
        <f t="shared" si="5"/>
        <v>43</v>
      </c>
      <c r="B52" s="202" t="s">
        <v>178</v>
      </c>
      <c r="C52" s="201" t="s">
        <v>224</v>
      </c>
      <c r="D52" s="201" t="s">
        <v>225</v>
      </c>
      <c r="E52" s="201" t="s">
        <v>232</v>
      </c>
      <c r="F52" s="224" t="s">
        <v>245</v>
      </c>
      <c r="G52" s="226"/>
      <c r="H52" s="226"/>
      <c r="I52" s="226"/>
      <c r="J52" s="226"/>
      <c r="K52" s="226"/>
      <c r="L52" s="226"/>
      <c r="M52" s="226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9.5" customHeight="1">
      <c r="A53" s="219" t="s">
        <v>336</v>
      </c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43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9.5" customHeight="1">
      <c r="A54" s="201">
        <f>A52+1</f>
        <v>44</v>
      </c>
      <c r="B54" s="202" t="s">
        <v>176</v>
      </c>
      <c r="C54" s="201" t="s">
        <v>224</v>
      </c>
      <c r="D54" s="201" t="s">
        <v>225</v>
      </c>
      <c r="E54" s="201" t="s">
        <v>320</v>
      </c>
      <c r="F54" s="224" t="s">
        <v>337</v>
      </c>
      <c r="G54" s="226"/>
      <c r="H54" s="226"/>
      <c r="I54" s="226"/>
      <c r="J54" s="226"/>
      <c r="K54" s="226"/>
      <c r="L54" s="226"/>
      <c r="M54" s="226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9.5" customHeight="1">
      <c r="A55" s="201">
        <f t="shared" ref="A55:A58" si="6">A54+1</f>
        <v>45</v>
      </c>
      <c r="B55" s="202" t="s">
        <v>176</v>
      </c>
      <c r="C55" s="201" t="s">
        <v>224</v>
      </c>
      <c r="D55" s="201" t="s">
        <v>225</v>
      </c>
      <c r="E55" s="201" t="s">
        <v>228</v>
      </c>
      <c r="F55" s="224" t="s">
        <v>229</v>
      </c>
      <c r="G55" s="226"/>
      <c r="H55" s="226"/>
      <c r="I55" s="226"/>
      <c r="J55" s="226"/>
      <c r="K55" s="226"/>
      <c r="L55" s="226"/>
      <c r="M55" s="226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9.5" customHeight="1">
      <c r="A56" s="201">
        <f t="shared" si="6"/>
        <v>46</v>
      </c>
      <c r="B56" s="202" t="s">
        <v>176</v>
      </c>
      <c r="C56" s="201" t="s">
        <v>224</v>
      </c>
      <c r="D56" s="201" t="s">
        <v>225</v>
      </c>
      <c r="E56" s="201" t="s">
        <v>323</v>
      </c>
      <c r="F56" s="224" t="s">
        <v>338</v>
      </c>
      <c r="G56" s="226"/>
      <c r="H56" s="226"/>
      <c r="I56" s="226"/>
      <c r="J56" s="226"/>
      <c r="K56" s="226"/>
      <c r="L56" s="226"/>
      <c r="M56" s="226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9.5" customHeight="1">
      <c r="A57" s="201">
        <f t="shared" si="6"/>
        <v>47</v>
      </c>
      <c r="B57" s="202" t="s">
        <v>176</v>
      </c>
      <c r="C57" s="201" t="s">
        <v>224</v>
      </c>
      <c r="D57" s="201" t="s">
        <v>225</v>
      </c>
      <c r="E57" s="201" t="s">
        <v>232</v>
      </c>
      <c r="F57" s="224" t="s">
        <v>235</v>
      </c>
      <c r="G57" s="226"/>
      <c r="H57" s="226"/>
      <c r="I57" s="226"/>
      <c r="J57" s="226"/>
      <c r="K57" s="226"/>
      <c r="L57" s="226"/>
      <c r="M57" s="226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9.5" customHeight="1">
      <c r="A58" s="201">
        <f t="shared" si="6"/>
        <v>48</v>
      </c>
      <c r="B58" s="202" t="s">
        <v>176</v>
      </c>
      <c r="C58" s="201" t="s">
        <v>224</v>
      </c>
      <c r="D58" s="201" t="s">
        <v>225</v>
      </c>
      <c r="E58" s="201" t="s">
        <v>339</v>
      </c>
      <c r="F58" s="224" t="s">
        <v>340</v>
      </c>
      <c r="G58" s="226"/>
      <c r="H58" s="226"/>
      <c r="I58" s="226"/>
      <c r="J58" s="226"/>
      <c r="K58" s="226"/>
      <c r="L58" s="226"/>
      <c r="M58" s="226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9.5" customHeight="1">
      <c r="A59" s="219" t="s">
        <v>341</v>
      </c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43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9.5" customHeight="1">
      <c r="A60" s="201">
        <f>A58+1</f>
        <v>49</v>
      </c>
      <c r="B60" s="202" t="s">
        <v>175</v>
      </c>
      <c r="C60" s="201" t="s">
        <v>224</v>
      </c>
      <c r="D60" s="201" t="s">
        <v>225</v>
      </c>
      <c r="E60" s="201" t="s">
        <v>318</v>
      </c>
      <c r="F60" s="224" t="s">
        <v>342</v>
      </c>
      <c r="G60" s="226"/>
      <c r="H60" s="226"/>
      <c r="I60" s="226"/>
      <c r="J60" s="226"/>
      <c r="K60" s="226"/>
      <c r="L60" s="226"/>
      <c r="M60" s="226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9.5" customHeight="1">
      <c r="A61" s="201">
        <f>A60+1</f>
        <v>50</v>
      </c>
      <c r="B61" s="202" t="s">
        <v>175</v>
      </c>
      <c r="C61" s="201" t="s">
        <v>224</v>
      </c>
      <c r="D61" s="201" t="s">
        <v>225</v>
      </c>
      <c r="E61" s="201" t="s">
        <v>320</v>
      </c>
      <c r="F61" s="224" t="s">
        <v>343</v>
      </c>
      <c r="G61" s="226"/>
      <c r="H61" s="226"/>
      <c r="I61" s="226"/>
      <c r="J61" s="226"/>
      <c r="K61" s="226"/>
      <c r="L61" s="228"/>
      <c r="M61" s="227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9.5" customHeight="1">
      <c r="A62" s="201">
        <v>51.0</v>
      </c>
      <c r="B62" s="202" t="s">
        <v>175</v>
      </c>
      <c r="C62" s="201" t="s">
        <v>224</v>
      </c>
      <c r="D62" s="201" t="s">
        <v>225</v>
      </c>
      <c r="E62" s="201" t="s">
        <v>344</v>
      </c>
      <c r="F62" s="224" t="s">
        <v>345</v>
      </c>
      <c r="G62" s="226"/>
      <c r="H62" s="226"/>
      <c r="I62" s="226"/>
      <c r="J62" s="226"/>
      <c r="K62" s="226"/>
      <c r="L62" s="228"/>
      <c r="M62" s="227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9.5" customHeight="1">
      <c r="A63" s="201">
        <v>52.0</v>
      </c>
      <c r="B63" s="202" t="s">
        <v>175</v>
      </c>
      <c r="C63" s="201" t="s">
        <v>224</v>
      </c>
      <c r="D63" s="201" t="s">
        <v>225</v>
      </c>
      <c r="E63" s="201" t="s">
        <v>228</v>
      </c>
      <c r="F63" s="224" t="s">
        <v>239</v>
      </c>
      <c r="G63" s="226"/>
      <c r="H63" s="226"/>
      <c r="I63" s="226"/>
      <c r="J63" s="226"/>
      <c r="K63" s="226"/>
      <c r="L63" s="226"/>
      <c r="M63" s="226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9.5" customHeight="1">
      <c r="A64" s="201">
        <f t="shared" ref="A64:A65" si="7">A63+1</f>
        <v>53</v>
      </c>
      <c r="B64" s="202" t="s">
        <v>175</v>
      </c>
      <c r="C64" s="201" t="s">
        <v>224</v>
      </c>
      <c r="D64" s="201" t="s">
        <v>225</v>
      </c>
      <c r="E64" s="201" t="s">
        <v>323</v>
      </c>
      <c r="F64" s="224" t="s">
        <v>346</v>
      </c>
      <c r="G64" s="226"/>
      <c r="H64" s="226"/>
      <c r="I64" s="226"/>
      <c r="J64" s="226"/>
      <c r="K64" s="226"/>
      <c r="L64" s="226"/>
      <c r="M64" s="226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9.5" customHeight="1">
      <c r="A65" s="201">
        <f t="shared" si="7"/>
        <v>54</v>
      </c>
      <c r="B65" s="202" t="s">
        <v>175</v>
      </c>
      <c r="C65" s="201" t="s">
        <v>224</v>
      </c>
      <c r="D65" s="201" t="s">
        <v>225</v>
      </c>
      <c r="E65" s="201" t="s">
        <v>232</v>
      </c>
      <c r="F65" s="224" t="s">
        <v>241</v>
      </c>
      <c r="G65" s="226"/>
      <c r="H65" s="226"/>
      <c r="I65" s="226"/>
      <c r="J65" s="226"/>
      <c r="K65" s="226"/>
      <c r="L65" s="226"/>
      <c r="M65" s="226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9.5" customHeight="1">
      <c r="A66" s="201">
        <v>55.0</v>
      </c>
      <c r="B66" s="202" t="s">
        <v>175</v>
      </c>
      <c r="C66" s="201" t="s">
        <v>224</v>
      </c>
      <c r="D66" s="201" t="s">
        <v>225</v>
      </c>
      <c r="E66" s="201" t="s">
        <v>339</v>
      </c>
      <c r="F66" s="224" t="s">
        <v>347</v>
      </c>
      <c r="G66" s="226"/>
      <c r="H66" s="226"/>
      <c r="I66" s="226"/>
      <c r="J66" s="226"/>
      <c r="K66" s="226"/>
      <c r="L66" s="226"/>
      <c r="M66" s="226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9.5" customHeight="1">
      <c r="A67" s="219" t="s">
        <v>348</v>
      </c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43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9.5" customHeight="1">
      <c r="A68" s="201">
        <f>A66+1</f>
        <v>56</v>
      </c>
      <c r="B68" s="202" t="s">
        <v>261</v>
      </c>
      <c r="C68" s="201" t="s">
        <v>224</v>
      </c>
      <c r="D68" s="201" t="s">
        <v>225</v>
      </c>
      <c r="E68" s="201" t="s">
        <v>320</v>
      </c>
      <c r="F68" s="224" t="s">
        <v>349</v>
      </c>
      <c r="G68" s="226"/>
      <c r="H68" s="226"/>
      <c r="I68" s="226"/>
      <c r="J68" s="226"/>
      <c r="K68" s="226"/>
      <c r="L68" s="228"/>
      <c r="M68" s="227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9.5" customHeight="1">
      <c r="A69" s="201">
        <f t="shared" ref="A69:A71" si="8">A68+1</f>
        <v>57</v>
      </c>
      <c r="B69" s="202" t="s">
        <v>261</v>
      </c>
      <c r="C69" s="201" t="s">
        <v>224</v>
      </c>
      <c r="D69" s="201" t="s">
        <v>225</v>
      </c>
      <c r="E69" s="201" t="s">
        <v>228</v>
      </c>
      <c r="F69" s="224" t="s">
        <v>263</v>
      </c>
      <c r="G69" s="226"/>
      <c r="H69" s="226"/>
      <c r="I69" s="226"/>
      <c r="J69" s="226"/>
      <c r="K69" s="227"/>
      <c r="L69" s="216"/>
      <c r="M69" s="216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9.5" customHeight="1">
      <c r="A70" s="201">
        <f t="shared" si="8"/>
        <v>58</v>
      </c>
      <c r="B70" s="202" t="s">
        <v>261</v>
      </c>
      <c r="C70" s="201" t="s">
        <v>224</v>
      </c>
      <c r="D70" s="201" t="s">
        <v>225</v>
      </c>
      <c r="E70" s="201" t="s">
        <v>323</v>
      </c>
      <c r="F70" s="224" t="s">
        <v>350</v>
      </c>
      <c r="G70" s="226"/>
      <c r="H70" s="226"/>
      <c r="I70" s="226"/>
      <c r="J70" s="226"/>
      <c r="K70" s="227"/>
      <c r="L70" s="216"/>
      <c r="M70" s="216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9.5" customHeight="1">
      <c r="A71" s="201">
        <f t="shared" si="8"/>
        <v>59</v>
      </c>
      <c r="B71" s="202" t="s">
        <v>261</v>
      </c>
      <c r="C71" s="201" t="s">
        <v>224</v>
      </c>
      <c r="D71" s="201" t="s">
        <v>225</v>
      </c>
      <c r="E71" s="201" t="s">
        <v>232</v>
      </c>
      <c r="F71" s="224" t="s">
        <v>265</v>
      </c>
      <c r="G71" s="226"/>
      <c r="H71" s="226"/>
      <c r="I71" s="226"/>
      <c r="J71" s="226"/>
      <c r="K71" s="227"/>
      <c r="L71" s="216"/>
      <c r="M71" s="216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9.5" customHeight="1">
      <c r="A72" s="219" t="s">
        <v>351</v>
      </c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43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9.5" customHeight="1">
      <c r="A73" s="201">
        <f>A71+1</f>
        <v>60</v>
      </c>
      <c r="B73" s="202" t="s">
        <v>246</v>
      </c>
      <c r="C73" s="201" t="s">
        <v>224</v>
      </c>
      <c r="D73" s="201" t="s">
        <v>225</v>
      </c>
      <c r="E73" s="201" t="s">
        <v>320</v>
      </c>
      <c r="F73" s="224" t="s">
        <v>352</v>
      </c>
      <c r="G73" s="226"/>
      <c r="H73" s="226"/>
      <c r="I73" s="226"/>
      <c r="J73" s="226"/>
      <c r="K73" s="226"/>
      <c r="L73" s="228"/>
      <c r="M73" s="227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9.5" customHeight="1">
      <c r="A74" s="201">
        <f t="shared" ref="A74:A76" si="9">A73+1</f>
        <v>61</v>
      </c>
      <c r="B74" s="202" t="s">
        <v>246</v>
      </c>
      <c r="C74" s="201" t="s">
        <v>224</v>
      </c>
      <c r="D74" s="201" t="s">
        <v>225</v>
      </c>
      <c r="E74" s="201" t="s">
        <v>228</v>
      </c>
      <c r="F74" s="224" t="s">
        <v>248</v>
      </c>
      <c r="G74" s="226"/>
      <c r="H74" s="226"/>
      <c r="I74" s="226"/>
      <c r="J74" s="226"/>
      <c r="K74" s="227"/>
      <c r="L74" s="216"/>
      <c r="M74" s="216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9.5" customHeight="1">
      <c r="A75" s="201">
        <f t="shared" si="9"/>
        <v>62</v>
      </c>
      <c r="B75" s="202" t="s">
        <v>246</v>
      </c>
      <c r="C75" s="201" t="s">
        <v>224</v>
      </c>
      <c r="D75" s="201" t="s">
        <v>225</v>
      </c>
      <c r="E75" s="201" t="s">
        <v>323</v>
      </c>
      <c r="F75" s="224" t="s">
        <v>353</v>
      </c>
      <c r="G75" s="226"/>
      <c r="H75" s="226"/>
      <c r="I75" s="226"/>
      <c r="J75" s="226"/>
      <c r="K75" s="226"/>
      <c r="L75" s="226"/>
      <c r="M75" s="226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9.5" customHeight="1">
      <c r="A76" s="201">
        <f t="shared" si="9"/>
        <v>63</v>
      </c>
      <c r="B76" s="202" t="s">
        <v>246</v>
      </c>
      <c r="C76" s="201" t="s">
        <v>224</v>
      </c>
      <c r="D76" s="201" t="s">
        <v>225</v>
      </c>
      <c r="E76" s="201" t="s">
        <v>232</v>
      </c>
      <c r="F76" s="224" t="s">
        <v>250</v>
      </c>
      <c r="G76" s="226"/>
      <c r="H76" s="226"/>
      <c r="I76" s="226"/>
      <c r="J76" s="226"/>
      <c r="K76" s="226"/>
      <c r="L76" s="226"/>
      <c r="M76" s="226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9.5" customHeight="1">
      <c r="A77" s="219" t="s">
        <v>354</v>
      </c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43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9.5" customHeight="1">
      <c r="A78" s="201">
        <f>A76+1</f>
        <v>64</v>
      </c>
      <c r="B78" s="202" t="s">
        <v>251</v>
      </c>
      <c r="C78" s="201" t="s">
        <v>224</v>
      </c>
      <c r="D78" s="201" t="s">
        <v>225</v>
      </c>
      <c r="E78" s="201" t="s">
        <v>320</v>
      </c>
      <c r="F78" s="224" t="s">
        <v>355</v>
      </c>
      <c r="G78" s="226"/>
      <c r="H78" s="226"/>
      <c r="I78" s="226"/>
      <c r="J78" s="226"/>
      <c r="K78" s="226"/>
      <c r="L78" s="228"/>
      <c r="M78" s="227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9.5" customHeight="1">
      <c r="A79" s="201">
        <f t="shared" ref="A79:A81" si="10">A78+1</f>
        <v>65</v>
      </c>
      <c r="B79" s="202" t="s">
        <v>251</v>
      </c>
      <c r="C79" s="201" t="s">
        <v>224</v>
      </c>
      <c r="D79" s="201" t="s">
        <v>225</v>
      </c>
      <c r="E79" s="201" t="s">
        <v>228</v>
      </c>
      <c r="F79" s="224" t="s">
        <v>356</v>
      </c>
      <c r="G79" s="226"/>
      <c r="H79" s="226"/>
      <c r="I79" s="226"/>
      <c r="J79" s="226"/>
      <c r="K79" s="226"/>
      <c r="L79" s="226"/>
      <c r="M79" s="226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9.5" customHeight="1">
      <c r="A80" s="201">
        <f t="shared" si="10"/>
        <v>66</v>
      </c>
      <c r="B80" s="202" t="s">
        <v>251</v>
      </c>
      <c r="C80" s="201" t="s">
        <v>224</v>
      </c>
      <c r="D80" s="201" t="s">
        <v>225</v>
      </c>
      <c r="E80" s="201" t="s">
        <v>323</v>
      </c>
      <c r="F80" s="224" t="s">
        <v>357</v>
      </c>
      <c r="G80" s="226"/>
      <c r="H80" s="226"/>
      <c r="I80" s="226"/>
      <c r="J80" s="226"/>
      <c r="K80" s="226"/>
      <c r="L80" s="226"/>
      <c r="M80" s="226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9.5" customHeight="1">
      <c r="A81" s="201">
        <f t="shared" si="10"/>
        <v>67</v>
      </c>
      <c r="B81" s="202" t="s">
        <v>251</v>
      </c>
      <c r="C81" s="201" t="s">
        <v>224</v>
      </c>
      <c r="D81" s="201" t="s">
        <v>225</v>
      </c>
      <c r="E81" s="201" t="s">
        <v>232</v>
      </c>
      <c r="F81" s="224" t="s">
        <v>358</v>
      </c>
      <c r="G81" s="226"/>
      <c r="H81" s="226"/>
      <c r="I81" s="226"/>
      <c r="J81" s="226"/>
      <c r="K81" s="226"/>
      <c r="L81" s="226"/>
      <c r="M81" s="226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9.5" customHeight="1">
      <c r="A82" s="219" t="s">
        <v>359</v>
      </c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43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9.5" customHeight="1">
      <c r="A83" s="201">
        <f>A81+1</f>
        <v>68</v>
      </c>
      <c r="B83" s="202" t="s">
        <v>177</v>
      </c>
      <c r="C83" s="201" t="s">
        <v>224</v>
      </c>
      <c r="D83" s="201" t="s">
        <v>225</v>
      </c>
      <c r="E83" s="201" t="s">
        <v>320</v>
      </c>
      <c r="F83" s="224" t="s">
        <v>360</v>
      </c>
      <c r="G83" s="226"/>
      <c r="H83" s="226"/>
      <c r="I83" s="226"/>
      <c r="J83" s="226"/>
      <c r="K83" s="226"/>
      <c r="L83" s="228"/>
      <c r="M83" s="227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9.5" customHeight="1">
      <c r="A84" s="201">
        <f t="shared" ref="A84:A86" si="11">A83+1</f>
        <v>69</v>
      </c>
      <c r="B84" s="202" t="s">
        <v>177</v>
      </c>
      <c r="C84" s="201" t="s">
        <v>224</v>
      </c>
      <c r="D84" s="201" t="s">
        <v>225</v>
      </c>
      <c r="E84" s="201" t="s">
        <v>228</v>
      </c>
      <c r="F84" s="224" t="s">
        <v>361</v>
      </c>
      <c r="G84" s="226"/>
      <c r="H84" s="226"/>
      <c r="I84" s="226"/>
      <c r="J84" s="226"/>
      <c r="K84" s="227"/>
      <c r="L84" s="216"/>
      <c r="M84" s="216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9.5" customHeight="1">
      <c r="A85" s="201">
        <f t="shared" si="11"/>
        <v>70</v>
      </c>
      <c r="B85" s="202" t="s">
        <v>177</v>
      </c>
      <c r="C85" s="201" t="s">
        <v>224</v>
      </c>
      <c r="D85" s="201" t="s">
        <v>225</v>
      </c>
      <c r="E85" s="201" t="s">
        <v>323</v>
      </c>
      <c r="F85" s="224" t="s">
        <v>362</v>
      </c>
      <c r="G85" s="226"/>
      <c r="H85" s="226"/>
      <c r="I85" s="226"/>
      <c r="J85" s="226"/>
      <c r="K85" s="226"/>
      <c r="L85" s="226"/>
      <c r="M85" s="226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9.5" customHeight="1">
      <c r="A86" s="201">
        <f t="shared" si="11"/>
        <v>71</v>
      </c>
      <c r="B86" s="202" t="s">
        <v>177</v>
      </c>
      <c r="C86" s="201" t="s">
        <v>224</v>
      </c>
      <c r="D86" s="201" t="s">
        <v>225</v>
      </c>
      <c r="E86" s="201" t="s">
        <v>232</v>
      </c>
      <c r="F86" s="224" t="s">
        <v>363</v>
      </c>
      <c r="G86" s="226"/>
      <c r="H86" s="226"/>
      <c r="I86" s="226"/>
      <c r="J86" s="226"/>
      <c r="K86" s="226"/>
      <c r="L86" s="226"/>
      <c r="M86" s="226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9.5" customHeight="1">
      <c r="A87" s="219" t="s">
        <v>364</v>
      </c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43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9.5" customHeight="1">
      <c r="A88" s="201">
        <f>A86+1</f>
        <v>72</v>
      </c>
      <c r="B88" s="202" t="s">
        <v>271</v>
      </c>
      <c r="C88" s="201" t="s">
        <v>224</v>
      </c>
      <c r="D88" s="201" t="s">
        <v>225</v>
      </c>
      <c r="E88" s="201" t="s">
        <v>320</v>
      </c>
      <c r="F88" s="224" t="s">
        <v>365</v>
      </c>
      <c r="G88" s="226"/>
      <c r="H88" s="226"/>
      <c r="I88" s="226"/>
      <c r="J88" s="226"/>
      <c r="K88" s="226"/>
      <c r="L88" s="228"/>
      <c r="M88" s="227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9.5" customHeight="1">
      <c r="A89" s="201">
        <f t="shared" ref="A89:A91" si="12">A88+1</f>
        <v>73</v>
      </c>
      <c r="B89" s="202" t="s">
        <v>271</v>
      </c>
      <c r="C89" s="201" t="s">
        <v>224</v>
      </c>
      <c r="D89" s="201" t="s">
        <v>225</v>
      </c>
      <c r="E89" s="201" t="s">
        <v>228</v>
      </c>
      <c r="F89" s="224" t="s">
        <v>273</v>
      </c>
      <c r="G89" s="226"/>
      <c r="H89" s="226"/>
      <c r="I89" s="226"/>
      <c r="J89" s="226"/>
      <c r="K89" s="226"/>
      <c r="L89" s="226"/>
      <c r="M89" s="226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9.5" customHeight="1">
      <c r="A90" s="201">
        <f t="shared" si="12"/>
        <v>74</v>
      </c>
      <c r="B90" s="202" t="s">
        <v>271</v>
      </c>
      <c r="C90" s="201" t="s">
        <v>224</v>
      </c>
      <c r="D90" s="201" t="s">
        <v>225</v>
      </c>
      <c r="E90" s="201" t="s">
        <v>323</v>
      </c>
      <c r="F90" s="224" t="s">
        <v>366</v>
      </c>
      <c r="G90" s="226"/>
      <c r="H90" s="226"/>
      <c r="I90" s="226"/>
      <c r="J90" s="226"/>
      <c r="K90" s="226"/>
      <c r="L90" s="226"/>
      <c r="M90" s="226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9.5" customHeight="1">
      <c r="A91" s="201">
        <f t="shared" si="12"/>
        <v>75</v>
      </c>
      <c r="B91" s="202" t="s">
        <v>271</v>
      </c>
      <c r="C91" s="201" t="s">
        <v>224</v>
      </c>
      <c r="D91" s="201" t="s">
        <v>225</v>
      </c>
      <c r="E91" s="201" t="s">
        <v>232</v>
      </c>
      <c r="F91" s="224" t="s">
        <v>275</v>
      </c>
      <c r="G91" s="226"/>
      <c r="H91" s="226"/>
      <c r="I91" s="226"/>
      <c r="J91" s="226"/>
      <c r="K91" s="226"/>
      <c r="L91" s="226"/>
      <c r="M91" s="226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9.5" customHeight="1">
      <c r="A92" s="219" t="s">
        <v>367</v>
      </c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43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9.5" customHeight="1">
      <c r="A93" s="201">
        <f>A91+1</f>
        <v>76</v>
      </c>
      <c r="B93" s="202" t="s">
        <v>368</v>
      </c>
      <c r="C93" s="201" t="s">
        <v>224</v>
      </c>
      <c r="D93" s="201" t="s">
        <v>225</v>
      </c>
      <c r="E93" s="201" t="s">
        <v>318</v>
      </c>
      <c r="F93" s="224" t="s">
        <v>369</v>
      </c>
      <c r="G93" s="226"/>
      <c r="H93" s="226"/>
      <c r="I93" s="226"/>
      <c r="J93" s="226"/>
      <c r="K93" s="226"/>
      <c r="L93" s="226"/>
      <c r="M93" s="226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9.5" customHeight="1">
      <c r="A94" s="201">
        <f t="shared" ref="A94:A97" si="13">A93+1</f>
        <v>77</v>
      </c>
      <c r="B94" s="202" t="s">
        <v>368</v>
      </c>
      <c r="C94" s="201" t="s">
        <v>224</v>
      </c>
      <c r="D94" s="201" t="s">
        <v>225</v>
      </c>
      <c r="E94" s="201" t="s">
        <v>320</v>
      </c>
      <c r="F94" s="224" t="s">
        <v>370</v>
      </c>
      <c r="G94" s="226"/>
      <c r="H94" s="226"/>
      <c r="I94" s="226"/>
      <c r="J94" s="226"/>
      <c r="K94" s="226"/>
      <c r="L94" s="228"/>
      <c r="M94" s="227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9.5" customHeight="1">
      <c r="A95" s="201">
        <f t="shared" si="13"/>
        <v>78</v>
      </c>
      <c r="B95" s="202" t="s">
        <v>368</v>
      </c>
      <c r="C95" s="201" t="s">
        <v>224</v>
      </c>
      <c r="D95" s="201" t="s">
        <v>225</v>
      </c>
      <c r="E95" s="201" t="s">
        <v>228</v>
      </c>
      <c r="F95" s="224" t="s">
        <v>371</v>
      </c>
      <c r="G95" s="226"/>
      <c r="H95" s="226"/>
      <c r="I95" s="226"/>
      <c r="J95" s="226"/>
      <c r="K95" s="227"/>
      <c r="L95" s="216"/>
      <c r="M95" s="216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9.5" customHeight="1">
      <c r="A96" s="201">
        <f t="shared" si="13"/>
        <v>79</v>
      </c>
      <c r="B96" s="202" t="s">
        <v>368</v>
      </c>
      <c r="C96" s="201" t="s">
        <v>224</v>
      </c>
      <c r="D96" s="201" t="s">
        <v>225</v>
      </c>
      <c r="E96" s="201" t="s">
        <v>323</v>
      </c>
      <c r="F96" s="224" t="s">
        <v>372</v>
      </c>
      <c r="G96" s="226"/>
      <c r="H96" s="226"/>
      <c r="I96" s="226"/>
      <c r="J96" s="226"/>
      <c r="K96" s="227"/>
      <c r="L96" s="216"/>
      <c r="M96" s="216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9.5" customHeight="1">
      <c r="A97" s="201">
        <f t="shared" si="13"/>
        <v>80</v>
      </c>
      <c r="B97" s="202" t="s">
        <v>368</v>
      </c>
      <c r="C97" s="201" t="s">
        <v>224</v>
      </c>
      <c r="D97" s="201" t="s">
        <v>225</v>
      </c>
      <c r="E97" s="201" t="s">
        <v>232</v>
      </c>
      <c r="F97" s="224" t="s">
        <v>373</v>
      </c>
      <c r="G97" s="226"/>
      <c r="H97" s="226"/>
      <c r="I97" s="226"/>
      <c r="J97" s="226"/>
      <c r="K97" s="227"/>
      <c r="L97" s="216"/>
      <c r="M97" s="216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9.5" customHeight="1">
      <c r="A98" s="201">
        <v>81.0</v>
      </c>
      <c r="B98" s="202" t="s">
        <v>368</v>
      </c>
      <c r="C98" s="201" t="s">
        <v>224</v>
      </c>
      <c r="D98" s="201" t="s">
        <v>225</v>
      </c>
      <c r="E98" s="201" t="s">
        <v>339</v>
      </c>
      <c r="F98" s="224" t="s">
        <v>374</v>
      </c>
      <c r="G98" s="226"/>
      <c r="H98" s="226"/>
      <c r="I98" s="226"/>
      <c r="J98" s="226"/>
      <c r="K98" s="227"/>
      <c r="L98" s="216"/>
      <c r="M98" s="216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9.5" customHeight="1">
      <c r="A99" s="219" t="s">
        <v>367</v>
      </c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43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9.5" customHeight="1">
      <c r="A100" s="201">
        <f>A98+1</f>
        <v>82</v>
      </c>
      <c r="B100" s="202" t="s">
        <v>375</v>
      </c>
      <c r="C100" s="201" t="s">
        <v>224</v>
      </c>
      <c r="D100" s="201" t="s">
        <v>225</v>
      </c>
      <c r="E100" s="201" t="s">
        <v>376</v>
      </c>
      <c r="F100" s="226" t="s">
        <v>377</v>
      </c>
      <c r="G100" s="226"/>
      <c r="H100" s="226"/>
      <c r="I100" s="226"/>
      <c r="J100" s="226"/>
      <c r="K100" s="226"/>
      <c r="L100" s="226"/>
      <c r="M100" s="226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9.5" customHeight="1">
      <c r="A101" s="201">
        <f t="shared" ref="A101:A104" si="14">A100+1</f>
        <v>83</v>
      </c>
      <c r="B101" s="202" t="s">
        <v>375</v>
      </c>
      <c r="C101" s="201" t="s">
        <v>224</v>
      </c>
      <c r="D101" s="201" t="s">
        <v>225</v>
      </c>
      <c r="E101" s="201" t="s">
        <v>376</v>
      </c>
      <c r="F101" s="226" t="s">
        <v>377</v>
      </c>
      <c r="G101" s="226"/>
      <c r="H101" s="226"/>
      <c r="I101" s="226"/>
      <c r="J101" s="226"/>
      <c r="K101" s="226"/>
      <c r="L101" s="226"/>
      <c r="M101" s="226"/>
      <c r="N101" s="207"/>
      <c r="O101" s="207"/>
      <c r="P101" s="207"/>
      <c r="Q101" s="207"/>
      <c r="R101" s="207"/>
      <c r="S101" s="207"/>
      <c r="T101" s="9"/>
      <c r="U101" s="9"/>
      <c r="V101" s="9"/>
      <c r="W101" s="9"/>
      <c r="X101" s="9"/>
      <c r="Y101" s="9"/>
      <c r="Z101" s="9"/>
    </row>
    <row r="102" ht="19.5" customHeight="1">
      <c r="A102" s="201">
        <f t="shared" si="14"/>
        <v>84</v>
      </c>
      <c r="B102" s="202" t="s">
        <v>375</v>
      </c>
      <c r="C102" s="201" t="s">
        <v>224</v>
      </c>
      <c r="D102" s="201" t="s">
        <v>225</v>
      </c>
      <c r="E102" s="201" t="s">
        <v>376</v>
      </c>
      <c r="F102" s="226" t="s">
        <v>377</v>
      </c>
      <c r="G102" s="226"/>
      <c r="H102" s="226"/>
      <c r="I102" s="226"/>
      <c r="J102" s="226"/>
      <c r="K102" s="226"/>
      <c r="L102" s="226"/>
      <c r="M102" s="226"/>
      <c r="N102" s="207"/>
      <c r="O102" s="207"/>
      <c r="P102" s="207"/>
      <c r="Q102" s="207"/>
      <c r="R102" s="207"/>
      <c r="S102" s="207"/>
      <c r="T102" s="9"/>
      <c r="U102" s="9"/>
      <c r="V102" s="9"/>
      <c r="W102" s="9"/>
      <c r="X102" s="9"/>
      <c r="Y102" s="9"/>
      <c r="Z102" s="9"/>
    </row>
    <row r="103" ht="19.5" customHeight="1">
      <c r="A103" s="201">
        <f t="shared" si="14"/>
        <v>85</v>
      </c>
      <c r="B103" s="202" t="s">
        <v>375</v>
      </c>
      <c r="C103" s="201" t="s">
        <v>224</v>
      </c>
      <c r="D103" s="201" t="s">
        <v>225</v>
      </c>
      <c r="E103" s="201" t="s">
        <v>376</v>
      </c>
      <c r="F103" s="226" t="s">
        <v>377</v>
      </c>
      <c r="G103" s="226"/>
      <c r="H103" s="226"/>
      <c r="I103" s="226"/>
      <c r="J103" s="226"/>
      <c r="K103" s="226"/>
      <c r="L103" s="226"/>
      <c r="M103" s="226"/>
      <c r="N103" s="207"/>
      <c r="O103" s="207"/>
      <c r="P103" s="207"/>
      <c r="Q103" s="207"/>
      <c r="R103" s="207"/>
      <c r="S103" s="207"/>
      <c r="T103" s="9"/>
      <c r="U103" s="9"/>
      <c r="V103" s="9"/>
      <c r="W103" s="9"/>
      <c r="X103" s="9"/>
      <c r="Y103" s="9"/>
      <c r="Z103" s="9"/>
    </row>
    <row r="104" ht="19.5" customHeight="1">
      <c r="A104" s="201">
        <f t="shared" si="14"/>
        <v>86</v>
      </c>
      <c r="B104" s="202" t="s">
        <v>375</v>
      </c>
      <c r="C104" s="201" t="s">
        <v>224</v>
      </c>
      <c r="D104" s="201" t="s">
        <v>225</v>
      </c>
      <c r="E104" s="201" t="s">
        <v>376</v>
      </c>
      <c r="F104" s="226" t="s">
        <v>377</v>
      </c>
      <c r="G104" s="226"/>
      <c r="H104" s="226"/>
      <c r="I104" s="226"/>
      <c r="J104" s="226"/>
      <c r="K104" s="226"/>
      <c r="L104" s="226"/>
      <c r="M104" s="226"/>
      <c r="N104" s="207"/>
      <c r="O104" s="207"/>
      <c r="P104" s="207"/>
      <c r="Q104" s="207"/>
      <c r="R104" s="207"/>
      <c r="S104" s="207"/>
      <c r="T104" s="9"/>
      <c r="U104" s="9"/>
      <c r="V104" s="9"/>
      <c r="W104" s="9"/>
      <c r="X104" s="9"/>
      <c r="Y104" s="9"/>
      <c r="Z104" s="9"/>
    </row>
    <row r="105" ht="19.5" customHeight="1">
      <c r="A105" s="9"/>
      <c r="B105" s="9"/>
      <c r="C105" s="9"/>
      <c r="D105" s="9"/>
      <c r="E105" s="217"/>
      <c r="F105" s="9"/>
      <c r="G105" s="119"/>
      <c r="H105" s="119"/>
      <c r="I105" s="119"/>
      <c r="J105" s="119"/>
      <c r="K105" s="9"/>
      <c r="L105" s="9"/>
      <c r="M105" s="9"/>
      <c r="N105" s="207"/>
      <c r="O105" s="207"/>
      <c r="P105" s="207"/>
      <c r="Q105" s="207"/>
      <c r="R105" s="207"/>
      <c r="S105" s="207"/>
      <c r="T105" s="9"/>
      <c r="U105" s="9"/>
      <c r="V105" s="9"/>
      <c r="W105" s="9"/>
      <c r="X105" s="9"/>
      <c r="Y105" s="9"/>
      <c r="Z105" s="9"/>
    </row>
    <row r="106" ht="19.5" customHeight="1">
      <c r="A106" s="9"/>
      <c r="B106" s="9"/>
      <c r="C106" s="9"/>
      <c r="D106" s="9"/>
      <c r="E106" s="217"/>
      <c r="F106" s="9"/>
      <c r="G106" s="119"/>
      <c r="H106" s="119"/>
      <c r="I106" s="119"/>
      <c r="J106" s="119"/>
      <c r="K106" s="9"/>
      <c r="L106" s="9"/>
      <c r="M106" s="9"/>
      <c r="N106" s="207"/>
      <c r="O106" s="207"/>
      <c r="P106" s="207"/>
      <c r="Q106" s="207"/>
      <c r="R106" s="207"/>
      <c r="S106" s="207"/>
      <c r="T106" s="9"/>
      <c r="U106" s="9"/>
      <c r="V106" s="9"/>
      <c r="W106" s="9"/>
      <c r="X106" s="9"/>
      <c r="Y106" s="9"/>
      <c r="Z106" s="9"/>
    </row>
    <row r="107" ht="19.5" customHeight="1">
      <c r="A107" s="9"/>
      <c r="B107" s="9"/>
      <c r="C107" s="9"/>
      <c r="D107" s="9"/>
      <c r="E107" s="217"/>
      <c r="F107" s="9"/>
      <c r="G107" s="119"/>
      <c r="H107" s="119"/>
      <c r="I107" s="119"/>
      <c r="J107" s="119"/>
      <c r="K107" s="9"/>
      <c r="L107" s="9"/>
      <c r="M107" s="9"/>
      <c r="N107" s="207"/>
      <c r="O107" s="207"/>
      <c r="P107" s="207"/>
      <c r="Q107" s="207"/>
      <c r="R107" s="207"/>
      <c r="S107" s="207"/>
      <c r="T107" s="9"/>
      <c r="U107" s="9"/>
      <c r="V107" s="9"/>
      <c r="W107" s="9"/>
      <c r="X107" s="9"/>
      <c r="Y107" s="9"/>
      <c r="Z107" s="9"/>
    </row>
    <row r="108" ht="19.5" customHeight="1">
      <c r="A108" s="9"/>
      <c r="B108" s="9"/>
      <c r="C108" s="9"/>
      <c r="D108" s="9"/>
      <c r="E108" s="217"/>
      <c r="F108" s="9"/>
      <c r="G108" s="119"/>
      <c r="H108" s="119"/>
      <c r="I108" s="119"/>
      <c r="J108" s="119"/>
      <c r="K108" s="9"/>
      <c r="L108" s="9"/>
      <c r="M108" s="9"/>
      <c r="N108" s="207"/>
      <c r="O108" s="207"/>
      <c r="P108" s="207"/>
      <c r="Q108" s="207"/>
      <c r="R108" s="207"/>
      <c r="S108" s="207"/>
      <c r="T108" s="9"/>
      <c r="U108" s="9"/>
      <c r="V108" s="9"/>
      <c r="W108" s="9"/>
      <c r="X108" s="9"/>
      <c r="Y108" s="9"/>
      <c r="Z108" s="9"/>
    </row>
    <row r="109" ht="19.5" customHeight="1">
      <c r="A109" s="9"/>
      <c r="B109" s="9"/>
      <c r="C109" s="9"/>
      <c r="D109" s="9"/>
      <c r="E109" s="217"/>
      <c r="F109" s="9"/>
      <c r="G109" s="119"/>
      <c r="H109" s="119"/>
      <c r="I109" s="119"/>
      <c r="J109" s="119"/>
      <c r="K109" s="9"/>
      <c r="L109" s="9"/>
      <c r="M109" s="9"/>
      <c r="N109" s="207"/>
      <c r="O109" s="207"/>
      <c r="P109" s="207"/>
      <c r="Q109" s="207"/>
      <c r="R109" s="207"/>
      <c r="S109" s="207"/>
      <c r="T109" s="9"/>
      <c r="U109" s="9"/>
      <c r="V109" s="9"/>
      <c r="W109" s="9"/>
      <c r="X109" s="9"/>
      <c r="Y109" s="9"/>
      <c r="Z109" s="9"/>
    </row>
    <row r="110" ht="19.5" customHeight="1">
      <c r="A110" s="9"/>
      <c r="B110" s="9"/>
      <c r="C110" s="9"/>
      <c r="D110" s="9"/>
      <c r="E110" s="217"/>
      <c r="F110" s="9"/>
      <c r="G110" s="119"/>
      <c r="H110" s="119"/>
      <c r="I110" s="119"/>
      <c r="J110" s="119"/>
      <c r="K110" s="9"/>
      <c r="L110" s="9"/>
      <c r="M110" s="9"/>
      <c r="N110" s="207"/>
      <c r="O110" s="207"/>
      <c r="P110" s="207"/>
      <c r="Q110" s="207"/>
      <c r="R110" s="207"/>
      <c r="S110" s="207"/>
      <c r="T110" s="9"/>
      <c r="U110" s="9"/>
      <c r="V110" s="9"/>
      <c r="W110" s="9"/>
      <c r="X110" s="9"/>
      <c r="Y110" s="9"/>
      <c r="Z110" s="9"/>
    </row>
    <row r="111" ht="19.5" customHeight="1">
      <c r="A111" s="9"/>
      <c r="B111" s="9"/>
      <c r="C111" s="9"/>
      <c r="D111" s="9"/>
      <c r="E111" s="217"/>
      <c r="F111" s="9"/>
      <c r="G111" s="119"/>
      <c r="H111" s="119"/>
      <c r="I111" s="119"/>
      <c r="J111" s="119"/>
      <c r="K111" s="9"/>
      <c r="L111" s="9"/>
      <c r="M111" s="9"/>
      <c r="N111" s="207"/>
      <c r="O111" s="207"/>
      <c r="P111" s="207"/>
      <c r="Q111" s="207"/>
      <c r="R111" s="207"/>
      <c r="S111" s="207"/>
      <c r="T111" s="9"/>
      <c r="U111" s="9"/>
      <c r="V111" s="9"/>
      <c r="W111" s="9"/>
      <c r="X111" s="9"/>
      <c r="Y111" s="9"/>
      <c r="Z111" s="9"/>
    </row>
    <row r="112" ht="19.5" customHeight="1">
      <c r="A112" s="9"/>
      <c r="B112" s="9"/>
      <c r="C112" s="9"/>
      <c r="D112" s="9"/>
      <c r="E112" s="217"/>
      <c r="F112" s="9"/>
      <c r="G112" s="119"/>
      <c r="H112" s="119"/>
      <c r="I112" s="119"/>
      <c r="J112" s="119"/>
      <c r="K112" s="9"/>
      <c r="L112" s="9"/>
      <c r="M112" s="9"/>
      <c r="N112" s="207"/>
      <c r="O112" s="207"/>
      <c r="P112" s="207"/>
      <c r="Q112" s="207"/>
      <c r="R112" s="207"/>
      <c r="S112" s="207"/>
      <c r="T112" s="9"/>
      <c r="U112" s="9"/>
      <c r="V112" s="9"/>
      <c r="W112" s="9"/>
      <c r="X112" s="9"/>
      <c r="Y112" s="9"/>
      <c r="Z112" s="9"/>
    </row>
    <row r="113" ht="19.5" customHeight="1">
      <c r="A113" s="9"/>
      <c r="B113" s="9"/>
      <c r="C113" s="9"/>
      <c r="D113" s="9"/>
      <c r="E113" s="217"/>
      <c r="F113" s="9"/>
      <c r="G113" s="119"/>
      <c r="H113" s="119"/>
      <c r="I113" s="119"/>
      <c r="J113" s="119"/>
      <c r="K113" s="9"/>
      <c r="L113" s="9"/>
      <c r="M113" s="9"/>
      <c r="N113" s="207"/>
      <c r="O113" s="207"/>
      <c r="P113" s="207"/>
      <c r="Q113" s="207"/>
      <c r="R113" s="207"/>
      <c r="S113" s="207"/>
      <c r="T113" s="9"/>
      <c r="U113" s="9"/>
      <c r="V113" s="9"/>
      <c r="W113" s="9"/>
      <c r="X113" s="9"/>
      <c r="Y113" s="9"/>
      <c r="Z113" s="9"/>
    </row>
    <row r="114" ht="19.5" customHeight="1">
      <c r="A114" s="9"/>
      <c r="B114" s="9"/>
      <c r="C114" s="9"/>
      <c r="D114" s="9"/>
      <c r="E114" s="217"/>
      <c r="F114" s="9"/>
      <c r="G114" s="119"/>
      <c r="H114" s="119"/>
      <c r="I114" s="119"/>
      <c r="J114" s="119"/>
      <c r="K114" s="9"/>
      <c r="L114" s="9"/>
      <c r="M114" s="9"/>
      <c r="N114" s="207"/>
      <c r="O114" s="207"/>
      <c r="P114" s="207"/>
      <c r="Q114" s="207"/>
      <c r="R114" s="207"/>
      <c r="S114" s="207"/>
      <c r="T114" s="9"/>
      <c r="U114" s="9"/>
      <c r="V114" s="9"/>
      <c r="W114" s="9"/>
      <c r="X114" s="9"/>
      <c r="Y114" s="9"/>
      <c r="Z114" s="9"/>
    </row>
    <row r="115" ht="19.5" customHeight="1">
      <c r="A115" s="9"/>
      <c r="B115" s="9"/>
      <c r="C115" s="9"/>
      <c r="D115" s="9"/>
      <c r="E115" s="217"/>
      <c r="F115" s="9"/>
      <c r="G115" s="119"/>
      <c r="H115" s="119"/>
      <c r="I115" s="119"/>
      <c r="J115" s="119"/>
      <c r="K115" s="9"/>
      <c r="L115" s="9"/>
      <c r="M115" s="9"/>
      <c r="N115" s="207"/>
      <c r="O115" s="207"/>
      <c r="P115" s="207"/>
      <c r="Q115" s="207"/>
      <c r="R115" s="207"/>
      <c r="S115" s="207"/>
      <c r="T115" s="9"/>
      <c r="U115" s="9"/>
      <c r="V115" s="9"/>
      <c r="W115" s="9"/>
      <c r="X115" s="9"/>
      <c r="Y115" s="9"/>
      <c r="Z115" s="9"/>
    </row>
    <row r="116" ht="19.5" customHeight="1">
      <c r="A116" s="9"/>
      <c r="B116" s="9"/>
      <c r="C116" s="9"/>
      <c r="D116" s="9"/>
      <c r="E116" s="217"/>
      <c r="F116" s="9"/>
      <c r="G116" s="119"/>
      <c r="H116" s="119"/>
      <c r="I116" s="119"/>
      <c r="J116" s="119"/>
      <c r="K116" s="9"/>
      <c r="L116" s="9"/>
      <c r="M116" s="9"/>
      <c r="N116" s="207"/>
      <c r="O116" s="207"/>
      <c r="P116" s="207"/>
      <c r="Q116" s="207"/>
      <c r="R116" s="207"/>
      <c r="S116" s="207"/>
      <c r="T116" s="9"/>
      <c r="U116" s="9"/>
      <c r="V116" s="9"/>
      <c r="W116" s="9"/>
      <c r="X116" s="9"/>
      <c r="Y116" s="9"/>
      <c r="Z116" s="9"/>
    </row>
    <row r="117" ht="19.5" customHeight="1">
      <c r="A117" s="9"/>
      <c r="B117" s="9"/>
      <c r="C117" s="9"/>
      <c r="D117" s="9"/>
      <c r="E117" s="217"/>
      <c r="F117" s="9"/>
      <c r="G117" s="119"/>
      <c r="H117" s="119"/>
      <c r="I117" s="119"/>
      <c r="J117" s="119"/>
      <c r="K117" s="9"/>
      <c r="L117" s="9"/>
      <c r="M117" s="9"/>
      <c r="N117" s="207"/>
      <c r="O117" s="207"/>
      <c r="P117" s="207"/>
      <c r="Q117" s="207"/>
      <c r="R117" s="207"/>
      <c r="S117" s="207"/>
      <c r="T117" s="9"/>
      <c r="U117" s="9"/>
      <c r="V117" s="9"/>
      <c r="W117" s="9"/>
      <c r="X117" s="9"/>
      <c r="Y117" s="9"/>
      <c r="Z117" s="9"/>
    </row>
    <row r="118" ht="19.5" customHeight="1">
      <c r="A118" s="9"/>
      <c r="B118" s="9"/>
      <c r="C118" s="9"/>
      <c r="D118" s="9"/>
      <c r="E118" s="217"/>
      <c r="F118" s="9"/>
      <c r="G118" s="119"/>
      <c r="H118" s="119"/>
      <c r="I118" s="119"/>
      <c r="J118" s="119"/>
      <c r="K118" s="9"/>
      <c r="L118" s="9"/>
      <c r="M118" s="9"/>
      <c r="N118" s="207"/>
      <c r="O118" s="207"/>
      <c r="P118" s="207"/>
      <c r="Q118" s="207"/>
      <c r="R118" s="207"/>
      <c r="S118" s="207"/>
      <c r="T118" s="9"/>
      <c r="U118" s="9"/>
      <c r="V118" s="9"/>
      <c r="W118" s="9"/>
      <c r="X118" s="9"/>
      <c r="Y118" s="9"/>
      <c r="Z118" s="9"/>
    </row>
    <row r="119" ht="19.5" customHeight="1">
      <c r="A119" s="9"/>
      <c r="B119" s="9"/>
      <c r="C119" s="9"/>
      <c r="D119" s="9"/>
      <c r="E119" s="217"/>
      <c r="F119" s="9"/>
      <c r="G119" s="119"/>
      <c r="H119" s="119"/>
      <c r="I119" s="119"/>
      <c r="J119" s="119"/>
      <c r="K119" s="9"/>
      <c r="L119" s="9"/>
      <c r="M119" s="9"/>
      <c r="N119" s="207"/>
      <c r="O119" s="207"/>
      <c r="P119" s="207"/>
      <c r="Q119" s="207"/>
      <c r="R119" s="207"/>
      <c r="S119" s="207"/>
      <c r="T119" s="9"/>
      <c r="U119" s="9"/>
      <c r="V119" s="9"/>
      <c r="W119" s="9"/>
      <c r="X119" s="9"/>
      <c r="Y119" s="9"/>
      <c r="Z119" s="9"/>
    </row>
    <row r="120" ht="19.5" customHeight="1">
      <c r="A120" s="9"/>
      <c r="B120" s="9"/>
      <c r="C120" s="9"/>
      <c r="D120" s="9"/>
      <c r="E120" s="217"/>
      <c r="F120" s="9"/>
      <c r="G120" s="119"/>
      <c r="H120" s="119"/>
      <c r="I120" s="119"/>
      <c r="J120" s="119"/>
      <c r="K120" s="9"/>
      <c r="L120" s="9"/>
      <c r="M120" s="9"/>
      <c r="N120" s="207"/>
      <c r="O120" s="207"/>
      <c r="P120" s="207"/>
      <c r="Q120" s="207"/>
      <c r="R120" s="207"/>
      <c r="S120" s="207"/>
      <c r="T120" s="9"/>
      <c r="U120" s="9"/>
      <c r="V120" s="9"/>
      <c r="W120" s="9"/>
      <c r="X120" s="9"/>
      <c r="Y120" s="9"/>
      <c r="Z120" s="9"/>
    </row>
    <row r="121" ht="19.5" customHeight="1">
      <c r="A121" s="9"/>
      <c r="B121" s="9"/>
      <c r="C121" s="9"/>
      <c r="D121" s="9"/>
      <c r="E121" s="217"/>
      <c r="F121" s="9"/>
      <c r="G121" s="119"/>
      <c r="H121" s="119"/>
      <c r="I121" s="119"/>
      <c r="J121" s="119"/>
      <c r="K121" s="9"/>
      <c r="L121" s="9"/>
      <c r="M121" s="9"/>
      <c r="N121" s="200"/>
      <c r="O121" s="200"/>
      <c r="P121" s="200"/>
      <c r="Q121" s="200"/>
      <c r="R121" s="200"/>
      <c r="S121" s="200"/>
      <c r="T121" s="9"/>
      <c r="U121" s="9"/>
      <c r="V121" s="9"/>
      <c r="W121" s="9"/>
      <c r="X121" s="9"/>
      <c r="Y121" s="9"/>
      <c r="Z121" s="9"/>
    </row>
    <row r="122" ht="19.5" customHeight="1">
      <c r="A122" s="9"/>
      <c r="B122" s="9"/>
      <c r="C122" s="9"/>
      <c r="D122" s="9"/>
      <c r="E122" s="217"/>
      <c r="F122" s="9"/>
      <c r="G122" s="119"/>
      <c r="H122" s="119"/>
      <c r="I122" s="119"/>
      <c r="J122" s="119"/>
      <c r="K122" s="9"/>
      <c r="L122" s="9"/>
      <c r="M122" s="9"/>
      <c r="N122" s="200"/>
      <c r="O122" s="200"/>
      <c r="P122" s="200"/>
      <c r="Q122" s="200"/>
      <c r="R122" s="200"/>
      <c r="S122" s="200"/>
      <c r="T122" s="9"/>
      <c r="U122" s="9"/>
      <c r="V122" s="9"/>
      <c r="W122" s="9"/>
      <c r="X122" s="9"/>
      <c r="Y122" s="9"/>
      <c r="Z122" s="9"/>
    </row>
    <row r="123" ht="19.5" customHeight="1">
      <c r="A123" s="9"/>
      <c r="B123" s="9"/>
      <c r="C123" s="9"/>
      <c r="D123" s="9"/>
      <c r="E123" s="217"/>
      <c r="F123" s="9"/>
      <c r="G123" s="119"/>
      <c r="H123" s="119"/>
      <c r="I123" s="119"/>
      <c r="J123" s="119"/>
      <c r="K123" s="9"/>
      <c r="L123" s="9"/>
      <c r="M123" s="9"/>
      <c r="N123" s="207"/>
      <c r="O123" s="207"/>
      <c r="P123" s="207"/>
      <c r="Q123" s="207"/>
      <c r="R123" s="207"/>
      <c r="S123" s="207"/>
      <c r="T123" s="9"/>
      <c r="U123" s="9"/>
      <c r="V123" s="9"/>
      <c r="W123" s="9"/>
      <c r="X123" s="9"/>
      <c r="Y123" s="9"/>
      <c r="Z123" s="9"/>
    </row>
    <row r="124" ht="19.5" customHeight="1">
      <c r="A124" s="9"/>
      <c r="B124" s="9"/>
      <c r="C124" s="9"/>
      <c r="D124" s="9"/>
      <c r="E124" s="217"/>
      <c r="F124" s="9"/>
      <c r="G124" s="119"/>
      <c r="H124" s="119"/>
      <c r="I124" s="119"/>
      <c r="J124" s="119"/>
      <c r="K124" s="9"/>
      <c r="L124" s="9"/>
      <c r="M124" s="9"/>
      <c r="N124" s="207"/>
      <c r="O124" s="207"/>
      <c r="P124" s="207"/>
      <c r="Q124" s="207"/>
      <c r="R124" s="207"/>
      <c r="S124" s="207"/>
      <c r="T124" s="9"/>
      <c r="U124" s="9"/>
      <c r="V124" s="9"/>
      <c r="W124" s="9"/>
      <c r="X124" s="9"/>
      <c r="Y124" s="9"/>
      <c r="Z124" s="9"/>
    </row>
    <row r="125" ht="19.5" customHeight="1">
      <c r="A125" s="9"/>
      <c r="B125" s="9"/>
      <c r="C125" s="9"/>
      <c r="D125" s="9"/>
      <c r="E125" s="217"/>
      <c r="F125" s="9"/>
      <c r="G125" s="119"/>
      <c r="H125" s="119"/>
      <c r="I125" s="119"/>
      <c r="J125" s="119"/>
      <c r="K125" s="9"/>
      <c r="L125" s="9"/>
      <c r="M125" s="9"/>
      <c r="N125" s="207"/>
      <c r="O125" s="207"/>
      <c r="P125" s="207"/>
      <c r="Q125" s="207"/>
      <c r="R125" s="207"/>
      <c r="S125" s="207"/>
      <c r="T125" s="9"/>
      <c r="U125" s="9"/>
      <c r="V125" s="9"/>
      <c r="W125" s="9"/>
      <c r="X125" s="9"/>
      <c r="Y125" s="9"/>
      <c r="Z125" s="9"/>
    </row>
    <row r="126" ht="19.5" customHeight="1">
      <c r="A126" s="9"/>
      <c r="B126" s="9"/>
      <c r="C126" s="9"/>
      <c r="D126" s="9"/>
      <c r="E126" s="217"/>
      <c r="F126" s="9"/>
      <c r="G126" s="119"/>
      <c r="H126" s="119"/>
      <c r="I126" s="119"/>
      <c r="J126" s="119"/>
      <c r="K126" s="9"/>
      <c r="L126" s="9"/>
      <c r="M126" s="9"/>
      <c r="N126" s="200"/>
      <c r="O126" s="200"/>
      <c r="P126" s="200"/>
      <c r="Q126" s="200"/>
      <c r="R126" s="200"/>
      <c r="S126" s="200"/>
      <c r="T126" s="9"/>
      <c r="U126" s="9"/>
      <c r="V126" s="9"/>
      <c r="W126" s="9"/>
      <c r="X126" s="9"/>
      <c r="Y126" s="9"/>
      <c r="Z126" s="9"/>
    </row>
    <row r="127" ht="19.5" customHeight="1">
      <c r="A127" s="9"/>
      <c r="B127" s="9"/>
      <c r="C127" s="9"/>
      <c r="D127" s="9"/>
      <c r="E127" s="217"/>
      <c r="F127" s="9"/>
      <c r="G127" s="119"/>
      <c r="H127" s="119"/>
      <c r="I127" s="119"/>
      <c r="J127" s="119"/>
      <c r="K127" s="9"/>
      <c r="L127" s="9"/>
      <c r="M127" s="9"/>
      <c r="N127" s="200"/>
      <c r="O127" s="200"/>
      <c r="P127" s="200"/>
      <c r="Q127" s="200"/>
      <c r="R127" s="200"/>
      <c r="S127" s="200"/>
      <c r="T127" s="9"/>
      <c r="U127" s="9"/>
      <c r="V127" s="9"/>
      <c r="W127" s="9"/>
      <c r="X127" s="9"/>
      <c r="Y127" s="9"/>
      <c r="Z127" s="9"/>
    </row>
    <row r="128" ht="19.5" customHeight="1">
      <c r="A128" s="9"/>
      <c r="B128" s="9"/>
      <c r="C128" s="9"/>
      <c r="D128" s="9"/>
      <c r="E128" s="217"/>
      <c r="F128" s="9"/>
      <c r="G128" s="119"/>
      <c r="H128" s="119"/>
      <c r="I128" s="119"/>
      <c r="J128" s="119"/>
      <c r="K128" s="9"/>
      <c r="L128" s="9"/>
      <c r="M128" s="9"/>
      <c r="N128" s="207"/>
      <c r="O128" s="207"/>
      <c r="P128" s="207"/>
      <c r="Q128" s="207"/>
      <c r="R128" s="207"/>
      <c r="S128" s="207"/>
      <c r="T128" s="9"/>
      <c r="U128" s="9"/>
      <c r="V128" s="9"/>
      <c r="W128" s="9"/>
      <c r="X128" s="9"/>
      <c r="Y128" s="9"/>
      <c r="Z128" s="9"/>
    </row>
    <row r="129" ht="19.5" customHeight="1">
      <c r="A129" s="9"/>
      <c r="B129" s="9"/>
      <c r="C129" s="9"/>
      <c r="D129" s="9"/>
      <c r="E129" s="217"/>
      <c r="F129" s="9"/>
      <c r="G129" s="119"/>
      <c r="H129" s="119"/>
      <c r="I129" s="119"/>
      <c r="J129" s="119"/>
      <c r="K129" s="9"/>
      <c r="L129" s="9"/>
      <c r="M129" s="9"/>
      <c r="N129" s="207"/>
      <c r="O129" s="207"/>
      <c r="P129" s="207"/>
      <c r="Q129" s="207"/>
      <c r="R129" s="207"/>
      <c r="S129" s="207"/>
      <c r="T129" s="9"/>
      <c r="U129" s="9"/>
      <c r="V129" s="9"/>
      <c r="W129" s="9"/>
      <c r="X129" s="9"/>
      <c r="Y129" s="9"/>
      <c r="Z129" s="9"/>
    </row>
    <row r="130" ht="19.5" customHeight="1">
      <c r="A130" s="9"/>
      <c r="B130" s="9"/>
      <c r="C130" s="9"/>
      <c r="D130" s="9"/>
      <c r="E130" s="217"/>
      <c r="F130" s="9"/>
      <c r="G130" s="119"/>
      <c r="H130" s="119"/>
      <c r="I130" s="119"/>
      <c r="J130" s="119"/>
      <c r="K130" s="9"/>
      <c r="L130" s="9"/>
      <c r="M130" s="9"/>
      <c r="N130" s="207"/>
      <c r="O130" s="207"/>
      <c r="P130" s="207"/>
      <c r="Q130" s="207"/>
      <c r="R130" s="207"/>
      <c r="S130" s="207"/>
      <c r="T130" s="9"/>
      <c r="U130" s="9"/>
      <c r="V130" s="9"/>
      <c r="W130" s="9"/>
      <c r="X130" s="9"/>
      <c r="Y130" s="9"/>
      <c r="Z130" s="9"/>
    </row>
    <row r="131" ht="19.5" customHeight="1">
      <c r="A131" s="9"/>
      <c r="B131" s="9"/>
      <c r="C131" s="9"/>
      <c r="D131" s="9"/>
      <c r="E131" s="217"/>
      <c r="F131" s="9"/>
      <c r="G131" s="119"/>
      <c r="H131" s="119"/>
      <c r="I131" s="119"/>
      <c r="J131" s="119"/>
      <c r="K131" s="9"/>
      <c r="L131" s="9"/>
      <c r="M131" s="9"/>
      <c r="N131" s="200"/>
      <c r="O131" s="200"/>
      <c r="P131" s="200"/>
      <c r="Q131" s="200"/>
      <c r="R131" s="200"/>
      <c r="S131" s="200"/>
      <c r="T131" s="9"/>
      <c r="U131" s="9"/>
      <c r="V131" s="9"/>
      <c r="W131" s="9"/>
      <c r="X131" s="9"/>
      <c r="Y131" s="9"/>
      <c r="Z131" s="9"/>
    </row>
    <row r="132" ht="19.5" customHeight="1">
      <c r="A132" s="9"/>
      <c r="B132" s="9"/>
      <c r="C132" s="9"/>
      <c r="D132" s="9"/>
      <c r="E132" s="217"/>
      <c r="F132" s="9"/>
      <c r="G132" s="119"/>
      <c r="H132" s="119"/>
      <c r="I132" s="119"/>
      <c r="J132" s="119"/>
      <c r="K132" s="9"/>
      <c r="L132" s="9"/>
      <c r="M132" s="9"/>
      <c r="N132" s="200"/>
      <c r="O132" s="200"/>
      <c r="P132" s="200"/>
      <c r="Q132" s="200"/>
      <c r="R132" s="200"/>
      <c r="S132" s="200"/>
      <c r="T132" s="9"/>
      <c r="U132" s="9"/>
      <c r="V132" s="9"/>
      <c r="W132" s="9"/>
      <c r="X132" s="9"/>
      <c r="Y132" s="9"/>
      <c r="Z132" s="9"/>
    </row>
    <row r="133" ht="19.5" customHeight="1">
      <c r="A133" s="9"/>
      <c r="B133" s="9"/>
      <c r="C133" s="9"/>
      <c r="D133" s="9"/>
      <c r="E133" s="217"/>
      <c r="F133" s="9"/>
      <c r="G133" s="119"/>
      <c r="H133" s="119"/>
      <c r="I133" s="119"/>
      <c r="J133" s="11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9.5" customHeight="1">
      <c r="A134" s="9"/>
      <c r="B134" s="9"/>
      <c r="C134" s="9"/>
      <c r="D134" s="9"/>
      <c r="E134" s="217"/>
      <c r="F134" s="9"/>
      <c r="G134" s="119"/>
      <c r="H134" s="119"/>
      <c r="I134" s="119"/>
      <c r="J134" s="119"/>
      <c r="K134" s="9"/>
      <c r="L134" s="9"/>
      <c r="M134" s="9"/>
      <c r="N134" s="207"/>
      <c r="O134" s="207"/>
      <c r="P134" s="207"/>
      <c r="Q134" s="207"/>
      <c r="R134" s="207"/>
      <c r="S134" s="207"/>
      <c r="T134" s="9"/>
      <c r="U134" s="9"/>
      <c r="V134" s="9"/>
      <c r="W134" s="9"/>
      <c r="X134" s="9"/>
      <c r="Y134" s="9"/>
      <c r="Z134" s="9"/>
    </row>
    <row r="135" ht="19.5" customHeight="1">
      <c r="A135" s="9"/>
      <c r="B135" s="9"/>
      <c r="C135" s="9"/>
      <c r="D135" s="9"/>
      <c r="E135" s="217"/>
      <c r="F135" s="9"/>
      <c r="G135" s="119"/>
      <c r="H135" s="119"/>
      <c r="I135" s="119"/>
      <c r="J135" s="119"/>
      <c r="K135" s="9"/>
      <c r="L135" s="9"/>
      <c r="M135" s="9"/>
      <c r="N135" s="207"/>
      <c r="O135" s="207"/>
      <c r="P135" s="207"/>
      <c r="Q135" s="207"/>
      <c r="R135" s="207"/>
      <c r="S135" s="207"/>
      <c r="T135" s="9"/>
      <c r="U135" s="9"/>
      <c r="V135" s="9"/>
      <c r="W135" s="9"/>
      <c r="X135" s="9"/>
      <c r="Y135" s="9"/>
      <c r="Z135" s="9"/>
    </row>
    <row r="136" ht="19.5" customHeight="1">
      <c r="A136" s="9"/>
      <c r="B136" s="9"/>
      <c r="C136" s="9"/>
      <c r="D136" s="9"/>
      <c r="E136" s="217"/>
      <c r="F136" s="9"/>
      <c r="G136" s="119"/>
      <c r="H136" s="119"/>
      <c r="I136" s="119"/>
      <c r="J136" s="119"/>
      <c r="K136" s="9"/>
      <c r="L136" s="9"/>
      <c r="M136" s="9"/>
      <c r="N136" s="200"/>
      <c r="O136" s="200"/>
      <c r="P136" s="200"/>
      <c r="Q136" s="200"/>
      <c r="R136" s="200"/>
      <c r="S136" s="200"/>
      <c r="T136" s="9"/>
      <c r="U136" s="9"/>
      <c r="V136" s="9"/>
      <c r="W136" s="9"/>
      <c r="X136" s="9"/>
      <c r="Y136" s="9"/>
      <c r="Z136" s="9"/>
    </row>
    <row r="137" ht="19.5" customHeight="1">
      <c r="A137" s="9"/>
      <c r="B137" s="9"/>
      <c r="C137" s="9"/>
      <c r="D137" s="9"/>
      <c r="E137" s="217"/>
      <c r="F137" s="9"/>
      <c r="G137" s="119"/>
      <c r="H137" s="119"/>
      <c r="I137" s="119"/>
      <c r="J137" s="119"/>
      <c r="K137" s="9"/>
      <c r="L137" s="9"/>
      <c r="M137" s="9"/>
      <c r="N137" s="200"/>
      <c r="O137" s="200"/>
      <c r="P137" s="200"/>
      <c r="Q137" s="200"/>
      <c r="R137" s="200"/>
      <c r="S137" s="200"/>
      <c r="T137" s="9"/>
      <c r="U137" s="9"/>
      <c r="V137" s="9"/>
      <c r="W137" s="9"/>
      <c r="X137" s="9"/>
      <c r="Y137" s="9"/>
      <c r="Z137" s="9"/>
    </row>
    <row r="138" ht="19.5" customHeight="1">
      <c r="A138" s="9"/>
      <c r="B138" s="9"/>
      <c r="C138" s="9"/>
      <c r="D138" s="9"/>
      <c r="E138" s="217"/>
      <c r="F138" s="9"/>
      <c r="G138" s="119"/>
      <c r="H138" s="119"/>
      <c r="I138" s="119"/>
      <c r="J138" s="119"/>
      <c r="K138" s="9"/>
      <c r="L138" s="9"/>
      <c r="M138" s="9"/>
      <c r="N138" s="207"/>
      <c r="O138" s="207"/>
      <c r="P138" s="207"/>
      <c r="Q138" s="207"/>
      <c r="R138" s="207"/>
      <c r="S138" s="207"/>
      <c r="T138" s="9"/>
      <c r="U138" s="9"/>
      <c r="V138" s="9"/>
      <c r="W138" s="9"/>
      <c r="X138" s="9"/>
      <c r="Y138" s="9"/>
      <c r="Z138" s="9"/>
    </row>
    <row r="139" ht="19.5" customHeight="1">
      <c r="A139" s="9"/>
      <c r="B139" s="9"/>
      <c r="C139" s="9"/>
      <c r="D139" s="9"/>
      <c r="E139" s="217"/>
      <c r="F139" s="9"/>
      <c r="G139" s="119"/>
      <c r="H139" s="119"/>
      <c r="I139" s="119"/>
      <c r="J139" s="119"/>
      <c r="K139" s="9"/>
      <c r="L139" s="9"/>
      <c r="M139" s="9"/>
      <c r="N139" s="207"/>
      <c r="O139" s="207"/>
      <c r="P139" s="207"/>
      <c r="Q139" s="207"/>
      <c r="R139" s="207"/>
      <c r="S139" s="207"/>
      <c r="T139" s="9"/>
      <c r="U139" s="9"/>
      <c r="V139" s="9"/>
      <c r="W139" s="9"/>
      <c r="X139" s="9"/>
      <c r="Y139" s="9"/>
      <c r="Z139" s="9"/>
    </row>
    <row r="140" ht="19.5" customHeight="1">
      <c r="A140" s="9"/>
      <c r="B140" s="9"/>
      <c r="C140" s="9"/>
      <c r="D140" s="9"/>
      <c r="E140" s="217"/>
      <c r="F140" s="9"/>
      <c r="G140" s="119"/>
      <c r="H140" s="119"/>
      <c r="I140" s="119"/>
      <c r="J140" s="119"/>
      <c r="K140" s="9"/>
      <c r="L140" s="9"/>
      <c r="M140" s="9"/>
      <c r="N140" s="207"/>
      <c r="O140" s="207"/>
      <c r="P140" s="207"/>
      <c r="Q140" s="207"/>
      <c r="R140" s="207"/>
      <c r="S140" s="207"/>
      <c r="T140" s="9"/>
      <c r="U140" s="9"/>
      <c r="V140" s="9"/>
      <c r="W140" s="9"/>
      <c r="X140" s="9"/>
      <c r="Y140" s="9"/>
      <c r="Z140" s="9"/>
    </row>
    <row r="141" ht="19.5" customHeight="1">
      <c r="A141" s="9"/>
      <c r="B141" s="9"/>
      <c r="C141" s="9"/>
      <c r="D141" s="9"/>
      <c r="E141" s="217"/>
      <c r="F141" s="9"/>
      <c r="G141" s="119"/>
      <c r="H141" s="119"/>
      <c r="I141" s="119"/>
      <c r="J141" s="119"/>
      <c r="K141" s="9"/>
      <c r="L141" s="9"/>
      <c r="M141" s="9"/>
      <c r="N141" s="200"/>
      <c r="O141" s="200"/>
      <c r="P141" s="200"/>
      <c r="Q141" s="200"/>
      <c r="R141" s="200"/>
      <c r="S141" s="200"/>
      <c r="T141" s="9"/>
      <c r="U141" s="9"/>
      <c r="V141" s="9"/>
      <c r="W141" s="9"/>
      <c r="X141" s="9"/>
      <c r="Y141" s="9"/>
      <c r="Z141" s="9"/>
    </row>
    <row r="142" ht="19.5" customHeight="1">
      <c r="A142" s="9"/>
      <c r="B142" s="9"/>
      <c r="C142" s="9"/>
      <c r="D142" s="9"/>
      <c r="E142" s="217"/>
      <c r="F142" s="9"/>
      <c r="G142" s="119"/>
      <c r="H142" s="119"/>
      <c r="I142" s="119"/>
      <c r="J142" s="119"/>
      <c r="K142" s="9"/>
      <c r="L142" s="9"/>
      <c r="M142" s="9"/>
      <c r="N142" s="200"/>
      <c r="O142" s="200"/>
      <c r="P142" s="200"/>
      <c r="Q142" s="200"/>
      <c r="R142" s="200"/>
      <c r="S142" s="200"/>
      <c r="T142" s="9"/>
      <c r="U142" s="9"/>
      <c r="V142" s="9"/>
      <c r="W142" s="9"/>
      <c r="X142" s="9"/>
      <c r="Y142" s="9"/>
      <c r="Z142" s="9"/>
    </row>
    <row r="143" ht="19.5" customHeight="1">
      <c r="A143" s="9"/>
      <c r="B143" s="9"/>
      <c r="C143" s="9"/>
      <c r="D143" s="9"/>
      <c r="E143" s="217"/>
      <c r="F143" s="9"/>
      <c r="G143" s="119"/>
      <c r="H143" s="119"/>
      <c r="I143" s="119"/>
      <c r="J143" s="11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9.5" customHeight="1">
      <c r="A144" s="9"/>
      <c r="B144" s="9"/>
      <c r="C144" s="9"/>
      <c r="D144" s="9"/>
      <c r="E144" s="217"/>
      <c r="F144" s="9"/>
      <c r="G144" s="119"/>
      <c r="H144" s="119"/>
      <c r="I144" s="119"/>
      <c r="J144" s="11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9.5" customHeight="1">
      <c r="A145" s="9"/>
      <c r="B145" s="9"/>
      <c r="C145" s="9"/>
      <c r="D145" s="9"/>
      <c r="E145" s="217"/>
      <c r="F145" s="9"/>
      <c r="G145" s="119"/>
      <c r="H145" s="119"/>
      <c r="I145" s="119"/>
      <c r="J145" s="11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9.5" customHeight="1">
      <c r="A146" s="9"/>
      <c r="B146" s="9"/>
      <c r="C146" s="9"/>
      <c r="D146" s="9"/>
      <c r="E146" s="217"/>
      <c r="F146" s="9"/>
      <c r="G146" s="119"/>
      <c r="H146" s="119"/>
      <c r="I146" s="119"/>
      <c r="J146" s="119"/>
      <c r="K146" s="9"/>
      <c r="L146" s="9"/>
      <c r="M146" s="9"/>
      <c r="N146" s="200"/>
      <c r="O146" s="200"/>
      <c r="P146" s="200"/>
      <c r="Q146" s="200"/>
      <c r="R146" s="200"/>
      <c r="S146" s="200"/>
      <c r="T146" s="9"/>
      <c r="U146" s="9"/>
      <c r="V146" s="9"/>
      <c r="W146" s="9"/>
      <c r="X146" s="9"/>
      <c r="Y146" s="9"/>
      <c r="Z146" s="9"/>
    </row>
    <row r="147" ht="19.5" customHeight="1">
      <c r="A147" s="9"/>
      <c r="B147" s="9"/>
      <c r="C147" s="9"/>
      <c r="D147" s="9"/>
      <c r="E147" s="217"/>
      <c r="F147" s="9"/>
      <c r="G147" s="119"/>
      <c r="H147" s="119"/>
      <c r="I147" s="119"/>
      <c r="J147" s="119"/>
      <c r="K147" s="9"/>
      <c r="L147" s="9"/>
      <c r="M147" s="9"/>
      <c r="N147" s="200"/>
      <c r="O147" s="200"/>
      <c r="P147" s="200"/>
      <c r="Q147" s="200"/>
      <c r="R147" s="200"/>
      <c r="S147" s="200"/>
      <c r="T147" s="9"/>
      <c r="U147" s="9"/>
      <c r="V147" s="9"/>
      <c r="W147" s="9"/>
      <c r="X147" s="9"/>
      <c r="Y147" s="9"/>
      <c r="Z147" s="9"/>
    </row>
    <row r="148" ht="19.5" customHeight="1">
      <c r="A148" s="9"/>
      <c r="B148" s="9"/>
      <c r="C148" s="9"/>
      <c r="D148" s="9"/>
      <c r="E148" s="217"/>
      <c r="F148" s="9"/>
      <c r="G148" s="119"/>
      <c r="H148" s="119"/>
      <c r="I148" s="119"/>
      <c r="J148" s="11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9.5" customHeight="1">
      <c r="A149" s="9"/>
      <c r="B149" s="9"/>
      <c r="C149" s="9"/>
      <c r="D149" s="9"/>
      <c r="E149" s="217"/>
      <c r="F149" s="9"/>
      <c r="G149" s="119"/>
      <c r="H149" s="119"/>
      <c r="I149" s="119"/>
      <c r="J149" s="11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9.5" customHeight="1">
      <c r="A150" s="9"/>
      <c r="B150" s="9"/>
      <c r="C150" s="9"/>
      <c r="D150" s="9"/>
      <c r="E150" s="217"/>
      <c r="F150" s="9"/>
      <c r="G150" s="119"/>
      <c r="H150" s="119"/>
      <c r="I150" s="119"/>
      <c r="J150" s="11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9.5" customHeight="1">
      <c r="A151" s="9"/>
      <c r="B151" s="9"/>
      <c r="C151" s="9"/>
      <c r="D151" s="9"/>
      <c r="E151" s="217"/>
      <c r="F151" s="9"/>
      <c r="G151" s="119"/>
      <c r="H151" s="119"/>
      <c r="I151" s="119"/>
      <c r="J151" s="119"/>
      <c r="K151" s="9"/>
      <c r="L151" s="9"/>
      <c r="M151" s="9"/>
      <c r="N151" s="200"/>
      <c r="O151" s="200"/>
      <c r="P151" s="200"/>
      <c r="Q151" s="200"/>
      <c r="R151" s="200"/>
      <c r="S151" s="200"/>
      <c r="T151" s="9"/>
      <c r="U151" s="9"/>
      <c r="V151" s="9"/>
      <c r="W151" s="9"/>
      <c r="X151" s="9"/>
      <c r="Y151" s="9"/>
      <c r="Z151" s="9"/>
    </row>
    <row r="152" ht="19.5" customHeight="1">
      <c r="A152" s="9"/>
      <c r="B152" s="9"/>
      <c r="C152" s="9"/>
      <c r="D152" s="9"/>
      <c r="E152" s="217"/>
      <c r="F152" s="9"/>
      <c r="G152" s="119"/>
      <c r="H152" s="119"/>
      <c r="I152" s="119"/>
      <c r="J152" s="119"/>
      <c r="K152" s="9"/>
      <c r="L152" s="9"/>
      <c r="M152" s="9"/>
      <c r="N152" s="200"/>
      <c r="O152" s="200"/>
      <c r="P152" s="200"/>
      <c r="Q152" s="200"/>
      <c r="R152" s="200"/>
      <c r="S152" s="200"/>
      <c r="T152" s="9"/>
      <c r="U152" s="9"/>
      <c r="V152" s="9"/>
      <c r="W152" s="9"/>
      <c r="X152" s="9"/>
      <c r="Y152" s="9"/>
      <c r="Z152" s="9"/>
    </row>
    <row r="153" ht="19.5" customHeight="1">
      <c r="A153" s="9"/>
      <c r="B153" s="9"/>
      <c r="C153" s="9"/>
      <c r="D153" s="9"/>
      <c r="E153" s="217"/>
      <c r="F153" s="9"/>
      <c r="G153" s="119"/>
      <c r="H153" s="119"/>
      <c r="I153" s="119"/>
      <c r="J153" s="11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9.5" customHeight="1">
      <c r="A154" s="9"/>
      <c r="B154" s="9"/>
      <c r="C154" s="9"/>
      <c r="D154" s="9"/>
      <c r="E154" s="217"/>
      <c r="F154" s="9"/>
      <c r="G154" s="119"/>
      <c r="H154" s="119"/>
      <c r="I154" s="119"/>
      <c r="J154" s="119"/>
      <c r="K154" s="9"/>
      <c r="L154" s="9"/>
      <c r="M154" s="9"/>
      <c r="N154" s="207"/>
      <c r="O154" s="207"/>
      <c r="P154" s="207"/>
      <c r="Q154" s="207"/>
      <c r="R154" s="207"/>
      <c r="S154" s="207"/>
      <c r="T154" s="9"/>
      <c r="U154" s="9"/>
      <c r="V154" s="9"/>
      <c r="W154" s="9"/>
      <c r="X154" s="9"/>
      <c r="Y154" s="9"/>
      <c r="Z154" s="9"/>
    </row>
    <row r="155" ht="19.5" customHeight="1">
      <c r="A155" s="9"/>
      <c r="B155" s="9"/>
      <c r="C155" s="9"/>
      <c r="D155" s="9"/>
      <c r="E155" s="217"/>
      <c r="F155" s="9"/>
      <c r="G155" s="119"/>
      <c r="H155" s="119"/>
      <c r="I155" s="119"/>
      <c r="J155" s="119"/>
      <c r="K155" s="9"/>
      <c r="L155" s="9"/>
      <c r="M155" s="9"/>
      <c r="N155" s="207"/>
      <c r="O155" s="207"/>
      <c r="P155" s="207"/>
      <c r="Q155" s="207"/>
      <c r="R155" s="207"/>
      <c r="S155" s="207"/>
      <c r="T155" s="9"/>
      <c r="U155" s="9"/>
      <c r="V155" s="9"/>
      <c r="W155" s="9"/>
      <c r="X155" s="9"/>
      <c r="Y155" s="9"/>
      <c r="Z155" s="9"/>
    </row>
    <row r="156" ht="19.5" customHeight="1">
      <c r="A156" s="9"/>
      <c r="B156" s="9"/>
      <c r="C156" s="9"/>
      <c r="D156" s="9"/>
      <c r="E156" s="217"/>
      <c r="F156" s="9"/>
      <c r="G156" s="119"/>
      <c r="H156" s="119"/>
      <c r="I156" s="119"/>
      <c r="J156" s="119"/>
      <c r="K156" s="9"/>
      <c r="L156" s="9"/>
      <c r="M156" s="9"/>
      <c r="N156" s="200"/>
      <c r="O156" s="200"/>
      <c r="P156" s="200"/>
      <c r="Q156" s="200"/>
      <c r="R156" s="200"/>
      <c r="S156" s="200"/>
      <c r="T156" s="9"/>
      <c r="U156" s="9"/>
      <c r="V156" s="9"/>
      <c r="W156" s="9"/>
      <c r="X156" s="9"/>
      <c r="Y156" s="9"/>
      <c r="Z156" s="9"/>
    </row>
    <row r="157" ht="19.5" customHeight="1">
      <c r="A157" s="9"/>
      <c r="B157" s="9"/>
      <c r="C157" s="9"/>
      <c r="D157" s="9"/>
      <c r="E157" s="217"/>
      <c r="F157" s="9"/>
      <c r="G157" s="119"/>
      <c r="H157" s="119"/>
      <c r="I157" s="119"/>
      <c r="J157" s="119"/>
      <c r="K157" s="9"/>
      <c r="L157" s="9"/>
      <c r="M157" s="9"/>
      <c r="N157" s="200"/>
      <c r="O157" s="200"/>
      <c r="P157" s="200"/>
      <c r="Q157" s="200"/>
      <c r="R157" s="200"/>
      <c r="S157" s="200"/>
      <c r="T157" s="9"/>
      <c r="U157" s="9"/>
      <c r="V157" s="9"/>
      <c r="W157" s="9"/>
      <c r="X157" s="9"/>
      <c r="Y157" s="9"/>
      <c r="Z157" s="9"/>
    </row>
    <row r="158" ht="19.5" customHeight="1">
      <c r="A158" s="9"/>
      <c r="B158" s="9"/>
      <c r="C158" s="9"/>
      <c r="D158" s="9"/>
      <c r="E158" s="217"/>
      <c r="F158" s="9"/>
      <c r="G158" s="119"/>
      <c r="H158" s="119"/>
      <c r="I158" s="119"/>
      <c r="J158" s="119"/>
      <c r="K158" s="9"/>
      <c r="L158" s="9"/>
      <c r="M158" s="9"/>
      <c r="N158" s="207"/>
      <c r="O158" s="207"/>
      <c r="P158" s="207"/>
      <c r="Q158" s="207"/>
      <c r="R158" s="207"/>
      <c r="S158" s="207"/>
      <c r="T158" s="9"/>
      <c r="U158" s="9"/>
      <c r="V158" s="9"/>
      <c r="W158" s="9"/>
      <c r="X158" s="9"/>
      <c r="Y158" s="9"/>
      <c r="Z158" s="9"/>
    </row>
    <row r="159" ht="19.5" customHeight="1">
      <c r="A159" s="9"/>
      <c r="B159" s="9"/>
      <c r="C159" s="9"/>
      <c r="D159" s="9"/>
      <c r="E159" s="217"/>
      <c r="F159" s="9"/>
      <c r="G159" s="119"/>
      <c r="H159" s="119"/>
      <c r="I159" s="119"/>
      <c r="J159" s="119"/>
      <c r="K159" s="9"/>
      <c r="L159" s="9"/>
      <c r="M159" s="9"/>
      <c r="N159" s="207"/>
      <c r="O159" s="207"/>
      <c r="P159" s="207"/>
      <c r="Q159" s="207"/>
      <c r="R159" s="207"/>
      <c r="S159" s="207"/>
      <c r="T159" s="9"/>
      <c r="U159" s="9"/>
      <c r="V159" s="9"/>
      <c r="W159" s="9"/>
      <c r="X159" s="9"/>
      <c r="Y159" s="9"/>
      <c r="Z159" s="9"/>
    </row>
    <row r="160" ht="19.5" customHeight="1">
      <c r="A160" s="9"/>
      <c r="B160" s="9"/>
      <c r="C160" s="9"/>
      <c r="D160" s="9"/>
      <c r="E160" s="217"/>
      <c r="F160" s="9"/>
      <c r="G160" s="119"/>
      <c r="H160" s="119"/>
      <c r="I160" s="119"/>
      <c r="J160" s="119"/>
      <c r="K160" s="9"/>
      <c r="L160" s="9"/>
      <c r="M160" s="9"/>
      <c r="N160" s="207"/>
      <c r="O160" s="207"/>
      <c r="P160" s="207"/>
      <c r="Q160" s="207"/>
      <c r="R160" s="207"/>
      <c r="S160" s="207"/>
      <c r="T160" s="9"/>
      <c r="U160" s="9"/>
      <c r="V160" s="9"/>
      <c r="W160" s="9"/>
      <c r="X160" s="9"/>
      <c r="Y160" s="9"/>
      <c r="Z160" s="9"/>
    </row>
    <row r="161" ht="19.5" customHeight="1">
      <c r="A161" s="9"/>
      <c r="B161" s="9"/>
      <c r="C161" s="9"/>
      <c r="D161" s="9"/>
      <c r="E161" s="217"/>
      <c r="F161" s="9"/>
      <c r="G161" s="119"/>
      <c r="H161" s="119"/>
      <c r="I161" s="119"/>
      <c r="J161" s="11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9.5" customHeight="1">
      <c r="A162" s="9"/>
      <c r="B162" s="9"/>
      <c r="C162" s="9"/>
      <c r="D162" s="9"/>
      <c r="E162" s="217"/>
      <c r="F162" s="9"/>
      <c r="G162" s="119"/>
      <c r="H162" s="119"/>
      <c r="I162" s="119"/>
      <c r="J162" s="11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9.5" customHeight="1">
      <c r="A163" s="9"/>
      <c r="B163" s="9"/>
      <c r="C163" s="9"/>
      <c r="D163" s="9"/>
      <c r="E163" s="217"/>
      <c r="F163" s="9"/>
      <c r="G163" s="119"/>
      <c r="H163" s="119"/>
      <c r="I163" s="119"/>
      <c r="J163" s="11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9.5" customHeight="1">
      <c r="A164" s="9"/>
      <c r="B164" s="9"/>
      <c r="C164" s="9"/>
      <c r="D164" s="9"/>
      <c r="E164" s="217"/>
      <c r="F164" s="9"/>
      <c r="G164" s="119"/>
      <c r="H164" s="119"/>
      <c r="I164" s="119"/>
      <c r="J164" s="11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9.5" customHeight="1">
      <c r="A165" s="9"/>
      <c r="B165" s="9"/>
      <c r="C165" s="9"/>
      <c r="D165" s="9"/>
      <c r="E165" s="217"/>
      <c r="F165" s="9"/>
      <c r="G165" s="119"/>
      <c r="H165" s="119"/>
      <c r="I165" s="119"/>
      <c r="J165" s="11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9.5" customHeight="1">
      <c r="A166" s="9"/>
      <c r="B166" s="9"/>
      <c r="C166" s="9"/>
      <c r="D166" s="9"/>
      <c r="E166" s="217"/>
      <c r="F166" s="9"/>
      <c r="G166" s="119"/>
      <c r="H166" s="119"/>
      <c r="I166" s="119"/>
      <c r="J166" s="11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9.5" customHeight="1">
      <c r="A167" s="9"/>
      <c r="B167" s="9"/>
      <c r="C167" s="9"/>
      <c r="D167" s="9"/>
      <c r="E167" s="217"/>
      <c r="F167" s="9"/>
      <c r="G167" s="119"/>
      <c r="H167" s="119"/>
      <c r="I167" s="119"/>
      <c r="J167" s="11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9.5" customHeight="1">
      <c r="A168" s="9"/>
      <c r="B168" s="9"/>
      <c r="C168" s="9"/>
      <c r="D168" s="9"/>
      <c r="E168" s="217"/>
      <c r="F168" s="9"/>
      <c r="G168" s="119"/>
      <c r="H168" s="119"/>
      <c r="I168" s="119"/>
      <c r="J168" s="11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9.5" customHeight="1">
      <c r="A169" s="9"/>
      <c r="B169" s="9"/>
      <c r="C169" s="9"/>
      <c r="D169" s="9"/>
      <c r="E169" s="217"/>
      <c r="F169" s="9"/>
      <c r="G169" s="119"/>
      <c r="H169" s="119"/>
      <c r="I169" s="119"/>
      <c r="J169" s="11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9.5" customHeight="1">
      <c r="A170" s="9"/>
      <c r="B170" s="9"/>
      <c r="C170" s="9"/>
      <c r="D170" s="9"/>
      <c r="E170" s="217"/>
      <c r="F170" s="9"/>
      <c r="G170" s="119"/>
      <c r="H170" s="119"/>
      <c r="I170" s="119"/>
      <c r="J170" s="11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9.5" customHeight="1">
      <c r="A171" s="9"/>
      <c r="B171" s="9"/>
      <c r="C171" s="9"/>
      <c r="D171" s="9"/>
      <c r="E171" s="217"/>
      <c r="F171" s="9"/>
      <c r="G171" s="119"/>
      <c r="H171" s="119"/>
      <c r="I171" s="119"/>
      <c r="J171" s="11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9.5" customHeight="1">
      <c r="A172" s="9"/>
      <c r="B172" s="9"/>
      <c r="C172" s="9"/>
      <c r="D172" s="9"/>
      <c r="E172" s="217"/>
      <c r="F172" s="9"/>
      <c r="G172" s="119"/>
      <c r="H172" s="119"/>
      <c r="I172" s="119"/>
      <c r="J172" s="11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9.5" customHeight="1">
      <c r="A173" s="9"/>
      <c r="B173" s="9"/>
      <c r="C173" s="9"/>
      <c r="D173" s="9"/>
      <c r="E173" s="217"/>
      <c r="F173" s="9"/>
      <c r="G173" s="119"/>
      <c r="H173" s="119"/>
      <c r="I173" s="119"/>
      <c r="J173" s="11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9"/>
      <c r="B174" s="9"/>
      <c r="C174" s="9"/>
      <c r="D174" s="9"/>
      <c r="E174" s="217"/>
      <c r="F174" s="9"/>
      <c r="G174" s="119"/>
      <c r="H174" s="119"/>
      <c r="I174" s="119"/>
      <c r="J174" s="11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9"/>
      <c r="B175" s="9"/>
      <c r="C175" s="9"/>
      <c r="D175" s="9"/>
      <c r="E175" s="217"/>
      <c r="F175" s="9"/>
      <c r="G175" s="119"/>
      <c r="H175" s="119"/>
      <c r="I175" s="119"/>
      <c r="J175" s="11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9"/>
      <c r="B176" s="9"/>
      <c r="C176" s="9"/>
      <c r="D176" s="9"/>
      <c r="E176" s="217"/>
      <c r="F176" s="9"/>
      <c r="G176" s="119"/>
      <c r="H176" s="119"/>
      <c r="I176" s="119"/>
      <c r="J176" s="11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9"/>
      <c r="B177" s="9"/>
      <c r="C177" s="9"/>
      <c r="D177" s="9"/>
      <c r="E177" s="217"/>
      <c r="F177" s="9"/>
      <c r="G177" s="119"/>
      <c r="H177" s="119"/>
      <c r="I177" s="119"/>
      <c r="J177" s="11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9"/>
      <c r="B178" s="9"/>
      <c r="C178" s="9"/>
      <c r="D178" s="9"/>
      <c r="E178" s="217"/>
      <c r="F178" s="9"/>
      <c r="G178" s="119"/>
      <c r="H178" s="119"/>
      <c r="I178" s="119"/>
      <c r="J178" s="11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9"/>
      <c r="B179" s="9"/>
      <c r="C179" s="9"/>
      <c r="D179" s="9"/>
      <c r="E179" s="217"/>
      <c r="F179" s="9"/>
      <c r="G179" s="119"/>
      <c r="H179" s="119"/>
      <c r="I179" s="119"/>
      <c r="J179" s="11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9"/>
      <c r="B180" s="9"/>
      <c r="C180" s="9"/>
      <c r="D180" s="9"/>
      <c r="E180" s="217"/>
      <c r="F180" s="9"/>
      <c r="G180" s="119"/>
      <c r="H180" s="119"/>
      <c r="I180" s="119"/>
      <c r="J180" s="11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9"/>
      <c r="B181" s="9"/>
      <c r="C181" s="9"/>
      <c r="D181" s="9"/>
      <c r="E181" s="217"/>
      <c r="F181" s="9"/>
      <c r="G181" s="119"/>
      <c r="H181" s="119"/>
      <c r="I181" s="119"/>
      <c r="J181" s="11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9"/>
      <c r="B182" s="9"/>
      <c r="C182" s="9"/>
      <c r="D182" s="9"/>
      <c r="E182" s="217"/>
      <c r="F182" s="9"/>
      <c r="G182" s="119"/>
      <c r="H182" s="119"/>
      <c r="I182" s="119"/>
      <c r="J182" s="11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9"/>
      <c r="B183" s="9"/>
      <c r="C183" s="9"/>
      <c r="D183" s="9"/>
      <c r="E183" s="217"/>
      <c r="F183" s="9"/>
      <c r="G183" s="119"/>
      <c r="H183" s="119"/>
      <c r="I183" s="119"/>
      <c r="J183" s="11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9"/>
      <c r="B184" s="9"/>
      <c r="C184" s="9"/>
      <c r="D184" s="9"/>
      <c r="E184" s="217"/>
      <c r="F184" s="9"/>
      <c r="G184" s="119"/>
      <c r="H184" s="119"/>
      <c r="I184" s="119"/>
      <c r="J184" s="11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9"/>
      <c r="B185" s="9"/>
      <c r="C185" s="9"/>
      <c r="D185" s="9"/>
      <c r="E185" s="217"/>
      <c r="F185" s="9"/>
      <c r="G185" s="119"/>
      <c r="H185" s="119"/>
      <c r="I185" s="119"/>
      <c r="J185" s="11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9"/>
      <c r="B186" s="9"/>
      <c r="C186" s="9"/>
      <c r="D186" s="9"/>
      <c r="E186" s="217"/>
      <c r="F186" s="9"/>
      <c r="G186" s="119"/>
      <c r="H186" s="119"/>
      <c r="I186" s="119"/>
      <c r="J186" s="11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9"/>
      <c r="B187" s="9"/>
      <c r="C187" s="9"/>
      <c r="D187" s="9"/>
      <c r="E187" s="217"/>
      <c r="F187" s="9"/>
      <c r="G187" s="119"/>
      <c r="H187" s="119"/>
      <c r="I187" s="119"/>
      <c r="J187" s="11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9"/>
      <c r="B188" s="9"/>
      <c r="C188" s="9"/>
      <c r="D188" s="9"/>
      <c r="E188" s="217"/>
      <c r="F188" s="9"/>
      <c r="G188" s="119"/>
      <c r="H188" s="119"/>
      <c r="I188" s="119"/>
      <c r="J188" s="11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9"/>
      <c r="B189" s="9"/>
      <c r="C189" s="9"/>
      <c r="D189" s="9"/>
      <c r="E189" s="217"/>
      <c r="F189" s="9"/>
      <c r="G189" s="119"/>
      <c r="H189" s="119"/>
      <c r="I189" s="119"/>
      <c r="J189" s="11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9"/>
      <c r="B190" s="9"/>
      <c r="C190" s="9"/>
      <c r="D190" s="9"/>
      <c r="E190" s="217"/>
      <c r="F190" s="9"/>
      <c r="G190" s="119"/>
      <c r="H190" s="119"/>
      <c r="I190" s="119"/>
      <c r="J190" s="11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9"/>
      <c r="B191" s="9"/>
      <c r="C191" s="9"/>
      <c r="D191" s="9"/>
      <c r="E191" s="217"/>
      <c r="F191" s="9"/>
      <c r="G191" s="119"/>
      <c r="H191" s="119"/>
      <c r="I191" s="119"/>
      <c r="J191" s="11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9"/>
      <c r="B192" s="9"/>
      <c r="C192" s="9"/>
      <c r="D192" s="9"/>
      <c r="E192" s="217"/>
      <c r="F192" s="9"/>
      <c r="G192" s="119"/>
      <c r="H192" s="119"/>
      <c r="I192" s="119"/>
      <c r="J192" s="11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9"/>
      <c r="B193" s="9"/>
      <c r="C193" s="9"/>
      <c r="D193" s="9"/>
      <c r="E193" s="217"/>
      <c r="F193" s="9"/>
      <c r="G193" s="119"/>
      <c r="H193" s="119"/>
      <c r="I193" s="119"/>
      <c r="J193" s="11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9"/>
      <c r="B194" s="9"/>
      <c r="C194" s="9"/>
      <c r="D194" s="9"/>
      <c r="E194" s="217"/>
      <c r="F194" s="9"/>
      <c r="G194" s="119"/>
      <c r="H194" s="119"/>
      <c r="I194" s="119"/>
      <c r="J194" s="11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9"/>
      <c r="B195" s="9"/>
      <c r="C195" s="9"/>
      <c r="D195" s="9"/>
      <c r="E195" s="217"/>
      <c r="F195" s="9"/>
      <c r="G195" s="119"/>
      <c r="H195" s="119"/>
      <c r="I195" s="119"/>
      <c r="J195" s="11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9"/>
      <c r="B196" s="9"/>
      <c r="C196" s="9"/>
      <c r="D196" s="9"/>
      <c r="E196" s="217"/>
      <c r="F196" s="9"/>
      <c r="G196" s="119"/>
      <c r="H196" s="119"/>
      <c r="I196" s="119"/>
      <c r="J196" s="11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9"/>
      <c r="B197" s="9"/>
      <c r="C197" s="9"/>
      <c r="D197" s="9"/>
      <c r="E197" s="217"/>
      <c r="F197" s="9"/>
      <c r="G197" s="119"/>
      <c r="H197" s="119"/>
      <c r="I197" s="119"/>
      <c r="J197" s="11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9"/>
      <c r="B198" s="9"/>
      <c r="C198" s="9"/>
      <c r="D198" s="9"/>
      <c r="E198" s="217"/>
      <c r="F198" s="9"/>
      <c r="G198" s="119"/>
      <c r="H198" s="119"/>
      <c r="I198" s="119"/>
      <c r="J198" s="11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9"/>
      <c r="B199" s="9"/>
      <c r="C199" s="9"/>
      <c r="D199" s="9"/>
      <c r="E199" s="217"/>
      <c r="F199" s="9"/>
      <c r="G199" s="119"/>
      <c r="H199" s="119"/>
      <c r="I199" s="119"/>
      <c r="J199" s="11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9"/>
      <c r="B200" s="9"/>
      <c r="C200" s="9"/>
      <c r="D200" s="9"/>
      <c r="E200" s="217"/>
      <c r="F200" s="9"/>
      <c r="G200" s="119"/>
      <c r="H200" s="119"/>
      <c r="I200" s="119"/>
      <c r="J200" s="11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9"/>
      <c r="B201" s="9"/>
      <c r="C201" s="9"/>
      <c r="D201" s="9"/>
      <c r="E201" s="217"/>
      <c r="F201" s="9"/>
      <c r="G201" s="119"/>
      <c r="H201" s="119"/>
      <c r="I201" s="119"/>
      <c r="J201" s="11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9"/>
      <c r="B202" s="9"/>
      <c r="C202" s="9"/>
      <c r="D202" s="9"/>
      <c r="E202" s="217"/>
      <c r="F202" s="9"/>
      <c r="G202" s="119"/>
      <c r="H202" s="119"/>
      <c r="I202" s="119"/>
      <c r="J202" s="11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9"/>
      <c r="B203" s="9"/>
      <c r="C203" s="9"/>
      <c r="D203" s="9"/>
      <c r="E203" s="217"/>
      <c r="F203" s="9"/>
      <c r="G203" s="119"/>
      <c r="H203" s="119"/>
      <c r="I203" s="119"/>
      <c r="J203" s="11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9"/>
      <c r="B204" s="9"/>
      <c r="C204" s="9"/>
      <c r="D204" s="9"/>
      <c r="E204" s="217"/>
      <c r="F204" s="9"/>
      <c r="G204" s="119"/>
      <c r="H204" s="119"/>
      <c r="I204" s="119"/>
      <c r="J204" s="11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9"/>
      <c r="B205" s="9"/>
      <c r="C205" s="9"/>
      <c r="D205" s="9"/>
      <c r="E205" s="217"/>
      <c r="F205" s="9"/>
      <c r="G205" s="119"/>
      <c r="H205" s="119"/>
      <c r="I205" s="119"/>
      <c r="J205" s="11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9"/>
      <c r="B206" s="9"/>
      <c r="C206" s="9"/>
      <c r="D206" s="9"/>
      <c r="E206" s="217"/>
      <c r="F206" s="9"/>
      <c r="G206" s="119"/>
      <c r="H206" s="119"/>
      <c r="I206" s="119"/>
      <c r="J206" s="11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9"/>
      <c r="B207" s="9"/>
      <c r="C207" s="9"/>
      <c r="D207" s="9"/>
      <c r="E207" s="217"/>
      <c r="F207" s="9"/>
      <c r="G207" s="119"/>
      <c r="H207" s="119"/>
      <c r="I207" s="119"/>
      <c r="J207" s="11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9"/>
      <c r="B208" s="9"/>
      <c r="C208" s="9"/>
      <c r="D208" s="9"/>
      <c r="E208" s="217"/>
      <c r="F208" s="9"/>
      <c r="G208" s="119"/>
      <c r="H208" s="119"/>
      <c r="I208" s="119"/>
      <c r="J208" s="11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9"/>
      <c r="B209" s="9"/>
      <c r="C209" s="9"/>
      <c r="D209" s="9"/>
      <c r="E209" s="217"/>
      <c r="F209" s="9"/>
      <c r="G209" s="119"/>
      <c r="H209" s="119"/>
      <c r="I209" s="119"/>
      <c r="J209" s="11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9"/>
      <c r="B210" s="9"/>
      <c r="C210" s="9"/>
      <c r="D210" s="9"/>
      <c r="E210" s="217"/>
      <c r="F210" s="9"/>
      <c r="G210" s="119"/>
      <c r="H210" s="119"/>
      <c r="I210" s="119"/>
      <c r="J210" s="11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9"/>
      <c r="B211" s="9"/>
      <c r="C211" s="9"/>
      <c r="D211" s="9"/>
      <c r="E211" s="217"/>
      <c r="F211" s="9"/>
      <c r="G211" s="119"/>
      <c r="H211" s="119"/>
      <c r="I211" s="119"/>
      <c r="J211" s="11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9"/>
      <c r="B212" s="9"/>
      <c r="C212" s="9"/>
      <c r="D212" s="9"/>
      <c r="E212" s="217"/>
      <c r="F212" s="9"/>
      <c r="G212" s="119"/>
      <c r="H212" s="119"/>
      <c r="I212" s="119"/>
      <c r="J212" s="11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9"/>
      <c r="B213" s="9"/>
      <c r="C213" s="9"/>
      <c r="D213" s="9"/>
      <c r="E213" s="217"/>
      <c r="F213" s="9"/>
      <c r="G213" s="119"/>
      <c r="H213" s="119"/>
      <c r="I213" s="119"/>
      <c r="J213" s="11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9"/>
      <c r="B214" s="9"/>
      <c r="C214" s="9"/>
      <c r="D214" s="9"/>
      <c r="E214" s="217"/>
      <c r="F214" s="9"/>
      <c r="G214" s="119"/>
      <c r="H214" s="119"/>
      <c r="I214" s="119"/>
      <c r="J214" s="11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9"/>
      <c r="B215" s="9"/>
      <c r="C215" s="9"/>
      <c r="D215" s="9"/>
      <c r="E215" s="217"/>
      <c r="F215" s="9"/>
      <c r="G215" s="119"/>
      <c r="H215" s="119"/>
      <c r="I215" s="119"/>
      <c r="J215" s="11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9"/>
      <c r="B216" s="9"/>
      <c r="C216" s="9"/>
      <c r="D216" s="9"/>
      <c r="E216" s="217"/>
      <c r="F216" s="9"/>
      <c r="G216" s="119"/>
      <c r="H216" s="119"/>
      <c r="I216" s="119"/>
      <c r="J216" s="11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9"/>
      <c r="B217" s="9"/>
      <c r="C217" s="9"/>
      <c r="D217" s="9"/>
      <c r="E217" s="217"/>
      <c r="F217" s="9"/>
      <c r="G217" s="119"/>
      <c r="H217" s="119"/>
      <c r="I217" s="119"/>
      <c r="J217" s="11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9"/>
      <c r="B218" s="9"/>
      <c r="C218" s="9"/>
      <c r="D218" s="9"/>
      <c r="E218" s="217"/>
      <c r="F218" s="9"/>
      <c r="G218" s="119"/>
      <c r="H218" s="119"/>
      <c r="I218" s="119"/>
      <c r="J218" s="11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9"/>
      <c r="B219" s="9"/>
      <c r="C219" s="9"/>
      <c r="D219" s="9"/>
      <c r="E219" s="217"/>
      <c r="F219" s="9"/>
      <c r="G219" s="119"/>
      <c r="H219" s="119"/>
      <c r="I219" s="119"/>
      <c r="J219" s="11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9"/>
      <c r="B220" s="9"/>
      <c r="C220" s="9"/>
      <c r="D220" s="9"/>
      <c r="E220" s="217"/>
      <c r="F220" s="9"/>
      <c r="G220" s="119"/>
      <c r="H220" s="119"/>
      <c r="I220" s="119"/>
      <c r="J220" s="11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9"/>
      <c r="B221" s="9"/>
      <c r="C221" s="9"/>
      <c r="D221" s="9"/>
      <c r="E221" s="217"/>
      <c r="F221" s="9"/>
      <c r="G221" s="119"/>
      <c r="H221" s="119"/>
      <c r="I221" s="119"/>
      <c r="J221" s="11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9"/>
      <c r="B222" s="9"/>
      <c r="C222" s="9"/>
      <c r="D222" s="9"/>
      <c r="E222" s="217"/>
      <c r="F222" s="9"/>
      <c r="G222" s="119"/>
      <c r="H222" s="119"/>
      <c r="I222" s="119"/>
      <c r="J222" s="11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9"/>
      <c r="B223" s="9"/>
      <c r="C223" s="9"/>
      <c r="D223" s="9"/>
      <c r="E223" s="217"/>
      <c r="F223" s="9"/>
      <c r="G223" s="119"/>
      <c r="H223" s="119"/>
      <c r="I223" s="119"/>
      <c r="J223" s="11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9"/>
      <c r="B224" s="9"/>
      <c r="C224" s="9"/>
      <c r="D224" s="9"/>
      <c r="E224" s="217"/>
      <c r="F224" s="9"/>
      <c r="G224" s="119"/>
      <c r="H224" s="119"/>
      <c r="I224" s="119"/>
      <c r="J224" s="11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9"/>
      <c r="B225" s="9"/>
      <c r="C225" s="9"/>
      <c r="D225" s="9"/>
      <c r="E225" s="217"/>
      <c r="F225" s="9"/>
      <c r="G225" s="119"/>
      <c r="H225" s="119"/>
      <c r="I225" s="119"/>
      <c r="J225" s="11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9"/>
      <c r="B226" s="9"/>
      <c r="C226" s="9"/>
      <c r="D226" s="9"/>
      <c r="E226" s="217"/>
      <c r="F226" s="9"/>
      <c r="G226" s="119"/>
      <c r="H226" s="119"/>
      <c r="I226" s="119"/>
      <c r="J226" s="11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9"/>
      <c r="B227" s="9"/>
      <c r="C227" s="9"/>
      <c r="D227" s="9"/>
      <c r="E227" s="217"/>
      <c r="F227" s="9"/>
      <c r="G227" s="119"/>
      <c r="H227" s="119"/>
      <c r="I227" s="119"/>
      <c r="J227" s="11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9"/>
      <c r="B228" s="9"/>
      <c r="C228" s="9"/>
      <c r="D228" s="9"/>
      <c r="E228" s="217"/>
      <c r="F228" s="9"/>
      <c r="G228" s="119"/>
      <c r="H228" s="119"/>
      <c r="I228" s="119"/>
      <c r="J228" s="11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9"/>
      <c r="B229" s="9"/>
      <c r="C229" s="9"/>
      <c r="D229" s="9"/>
      <c r="E229" s="217"/>
      <c r="F229" s="9"/>
      <c r="G229" s="119"/>
      <c r="H229" s="119"/>
      <c r="I229" s="119"/>
      <c r="J229" s="11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9"/>
      <c r="B230" s="9"/>
      <c r="C230" s="9"/>
      <c r="D230" s="9"/>
      <c r="E230" s="217"/>
      <c r="F230" s="9"/>
      <c r="G230" s="119"/>
      <c r="H230" s="119"/>
      <c r="I230" s="119"/>
      <c r="J230" s="11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9"/>
      <c r="B231" s="9"/>
      <c r="C231" s="9"/>
      <c r="D231" s="9"/>
      <c r="E231" s="217"/>
      <c r="F231" s="9"/>
      <c r="G231" s="119"/>
      <c r="H231" s="119"/>
      <c r="I231" s="119"/>
      <c r="J231" s="11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9"/>
      <c r="B232" s="9"/>
      <c r="C232" s="9"/>
      <c r="D232" s="9"/>
      <c r="E232" s="217"/>
      <c r="F232" s="9"/>
      <c r="G232" s="119"/>
      <c r="H232" s="119"/>
      <c r="I232" s="119"/>
      <c r="J232" s="11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9"/>
      <c r="B233" s="9"/>
      <c r="C233" s="9"/>
      <c r="D233" s="9"/>
      <c r="E233" s="217"/>
      <c r="F233" s="9"/>
      <c r="G233" s="119"/>
      <c r="H233" s="119"/>
      <c r="I233" s="119"/>
      <c r="J233" s="11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9"/>
      <c r="B234" s="9"/>
      <c r="C234" s="9"/>
      <c r="D234" s="9"/>
      <c r="E234" s="217"/>
      <c r="F234" s="9"/>
      <c r="G234" s="119"/>
      <c r="H234" s="119"/>
      <c r="I234" s="119"/>
      <c r="J234" s="11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9"/>
      <c r="B235" s="9"/>
      <c r="C235" s="9"/>
      <c r="D235" s="9"/>
      <c r="E235" s="217"/>
      <c r="F235" s="9"/>
      <c r="G235" s="119"/>
      <c r="H235" s="119"/>
      <c r="I235" s="119"/>
      <c r="J235" s="11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9"/>
      <c r="B236" s="9"/>
      <c r="C236" s="9"/>
      <c r="D236" s="9"/>
      <c r="E236" s="217"/>
      <c r="F236" s="9"/>
      <c r="G236" s="119"/>
      <c r="H236" s="119"/>
      <c r="I236" s="119"/>
      <c r="J236" s="11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9"/>
      <c r="B237" s="9"/>
      <c r="C237" s="9"/>
      <c r="D237" s="9"/>
      <c r="E237" s="217"/>
      <c r="F237" s="9"/>
      <c r="G237" s="119"/>
      <c r="H237" s="119"/>
      <c r="I237" s="119"/>
      <c r="J237" s="11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9"/>
      <c r="B238" s="9"/>
      <c r="C238" s="9"/>
      <c r="D238" s="9"/>
      <c r="E238" s="217"/>
      <c r="F238" s="9"/>
      <c r="G238" s="119"/>
      <c r="H238" s="119"/>
      <c r="I238" s="119"/>
      <c r="J238" s="11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9"/>
      <c r="B239" s="9"/>
      <c r="C239" s="9"/>
      <c r="D239" s="9"/>
      <c r="E239" s="217"/>
      <c r="F239" s="9"/>
      <c r="G239" s="119"/>
      <c r="H239" s="119"/>
      <c r="I239" s="119"/>
      <c r="J239" s="11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9"/>
      <c r="B240" s="9"/>
      <c r="C240" s="9"/>
      <c r="D240" s="9"/>
      <c r="E240" s="217"/>
      <c r="F240" s="9"/>
      <c r="G240" s="119"/>
      <c r="H240" s="119"/>
      <c r="I240" s="119"/>
      <c r="J240" s="11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9"/>
      <c r="B241" s="9"/>
      <c r="C241" s="9"/>
      <c r="D241" s="9"/>
      <c r="E241" s="217"/>
      <c r="F241" s="9"/>
      <c r="G241" s="119"/>
      <c r="H241" s="119"/>
      <c r="I241" s="119"/>
      <c r="J241" s="11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9"/>
      <c r="B242" s="9"/>
      <c r="C242" s="9"/>
      <c r="D242" s="9"/>
      <c r="E242" s="217"/>
      <c r="F242" s="9"/>
      <c r="G242" s="119"/>
      <c r="H242" s="119"/>
      <c r="I242" s="119"/>
      <c r="J242" s="11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9"/>
      <c r="B243" s="9"/>
      <c r="C243" s="9"/>
      <c r="D243" s="9"/>
      <c r="E243" s="217"/>
      <c r="F243" s="9"/>
      <c r="G243" s="119"/>
      <c r="H243" s="119"/>
      <c r="I243" s="119"/>
      <c r="J243" s="11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9"/>
      <c r="B244" s="9"/>
      <c r="C244" s="9"/>
      <c r="D244" s="9"/>
      <c r="E244" s="217"/>
      <c r="F244" s="9"/>
      <c r="G244" s="119"/>
      <c r="H244" s="119"/>
      <c r="I244" s="119"/>
      <c r="J244" s="11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9"/>
      <c r="B245" s="9"/>
      <c r="C245" s="9"/>
      <c r="D245" s="9"/>
      <c r="E245" s="217"/>
      <c r="F245" s="9"/>
      <c r="G245" s="119"/>
      <c r="H245" s="119"/>
      <c r="I245" s="119"/>
      <c r="J245" s="11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9"/>
      <c r="B246" s="9"/>
      <c r="C246" s="9"/>
      <c r="D246" s="9"/>
      <c r="E246" s="217"/>
      <c r="F246" s="9"/>
      <c r="G246" s="119"/>
      <c r="H246" s="119"/>
      <c r="I246" s="119"/>
      <c r="J246" s="11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9"/>
      <c r="B247" s="9"/>
      <c r="C247" s="9"/>
      <c r="D247" s="9"/>
      <c r="E247" s="217"/>
      <c r="F247" s="9"/>
      <c r="G247" s="119"/>
      <c r="H247" s="119"/>
      <c r="I247" s="119"/>
      <c r="J247" s="11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9"/>
      <c r="B248" s="9"/>
      <c r="C248" s="9"/>
      <c r="D248" s="9"/>
      <c r="E248" s="217"/>
      <c r="F248" s="9"/>
      <c r="G248" s="119"/>
      <c r="H248" s="119"/>
      <c r="I248" s="119"/>
      <c r="J248" s="11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9"/>
      <c r="B249" s="9"/>
      <c r="C249" s="9"/>
      <c r="D249" s="9"/>
      <c r="E249" s="217"/>
      <c r="F249" s="9"/>
      <c r="G249" s="119"/>
      <c r="H249" s="119"/>
      <c r="I249" s="119"/>
      <c r="J249" s="11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9"/>
      <c r="B250" s="9"/>
      <c r="C250" s="9"/>
      <c r="D250" s="9"/>
      <c r="E250" s="217"/>
      <c r="F250" s="9"/>
      <c r="G250" s="119"/>
      <c r="H250" s="119"/>
      <c r="I250" s="119"/>
      <c r="J250" s="11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9"/>
      <c r="B251" s="9"/>
      <c r="C251" s="9"/>
      <c r="D251" s="9"/>
      <c r="E251" s="217"/>
      <c r="F251" s="9"/>
      <c r="G251" s="119"/>
      <c r="H251" s="119"/>
      <c r="I251" s="119"/>
      <c r="J251" s="11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9"/>
      <c r="B252" s="9"/>
      <c r="C252" s="9"/>
      <c r="D252" s="9"/>
      <c r="E252" s="217"/>
      <c r="F252" s="9"/>
      <c r="G252" s="119"/>
      <c r="H252" s="119"/>
      <c r="I252" s="119"/>
      <c r="J252" s="11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9"/>
      <c r="B253" s="9"/>
      <c r="C253" s="9"/>
      <c r="D253" s="9"/>
      <c r="E253" s="217"/>
      <c r="F253" s="9"/>
      <c r="G253" s="119"/>
      <c r="H253" s="119"/>
      <c r="I253" s="119"/>
      <c r="J253" s="11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9"/>
      <c r="B254" s="9"/>
      <c r="C254" s="9"/>
      <c r="D254" s="9"/>
      <c r="E254" s="217"/>
      <c r="F254" s="9"/>
      <c r="G254" s="119"/>
      <c r="H254" s="119"/>
      <c r="I254" s="119"/>
      <c r="J254" s="11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9"/>
      <c r="B255" s="9"/>
      <c r="C255" s="9"/>
      <c r="D255" s="9"/>
      <c r="E255" s="217"/>
      <c r="F255" s="9"/>
      <c r="G255" s="119"/>
      <c r="H255" s="119"/>
      <c r="I255" s="119"/>
      <c r="J255" s="11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9"/>
      <c r="B256" s="9"/>
      <c r="C256" s="9"/>
      <c r="D256" s="9"/>
      <c r="E256" s="217"/>
      <c r="F256" s="9"/>
      <c r="G256" s="119"/>
      <c r="H256" s="119"/>
      <c r="I256" s="119"/>
      <c r="J256" s="11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9"/>
      <c r="B257" s="9"/>
      <c r="C257" s="9"/>
      <c r="D257" s="9"/>
      <c r="E257" s="217"/>
      <c r="F257" s="9"/>
      <c r="G257" s="119"/>
      <c r="H257" s="119"/>
      <c r="I257" s="119"/>
      <c r="J257" s="11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9"/>
      <c r="B258" s="9"/>
      <c r="C258" s="9"/>
      <c r="D258" s="9"/>
      <c r="E258" s="217"/>
      <c r="F258" s="9"/>
      <c r="G258" s="119"/>
      <c r="H258" s="119"/>
      <c r="I258" s="119"/>
      <c r="J258" s="11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9"/>
      <c r="B259" s="9"/>
      <c r="C259" s="9"/>
      <c r="D259" s="9"/>
      <c r="E259" s="217"/>
      <c r="F259" s="9"/>
      <c r="G259" s="119"/>
      <c r="H259" s="119"/>
      <c r="I259" s="119"/>
      <c r="J259" s="11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9"/>
      <c r="B260" s="9"/>
      <c r="C260" s="9"/>
      <c r="D260" s="9"/>
      <c r="E260" s="217"/>
      <c r="F260" s="9"/>
      <c r="G260" s="119"/>
      <c r="H260" s="119"/>
      <c r="I260" s="119"/>
      <c r="J260" s="11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9"/>
      <c r="B261" s="9"/>
      <c r="C261" s="9"/>
      <c r="D261" s="9"/>
      <c r="E261" s="217"/>
      <c r="F261" s="9"/>
      <c r="G261" s="119"/>
      <c r="H261" s="119"/>
      <c r="I261" s="119"/>
      <c r="J261" s="11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9"/>
      <c r="B262" s="9"/>
      <c r="C262" s="9"/>
      <c r="D262" s="9"/>
      <c r="E262" s="217"/>
      <c r="F262" s="9"/>
      <c r="G262" s="119"/>
      <c r="H262" s="119"/>
      <c r="I262" s="119"/>
      <c r="J262" s="11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9"/>
      <c r="B263" s="9"/>
      <c r="C263" s="9"/>
      <c r="D263" s="9"/>
      <c r="E263" s="217"/>
      <c r="F263" s="9"/>
      <c r="G263" s="119"/>
      <c r="H263" s="119"/>
      <c r="I263" s="119"/>
      <c r="J263" s="11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9"/>
      <c r="B264" s="9"/>
      <c r="C264" s="9"/>
      <c r="D264" s="9"/>
      <c r="E264" s="217"/>
      <c r="F264" s="9"/>
      <c r="G264" s="119"/>
      <c r="H264" s="119"/>
      <c r="I264" s="119"/>
      <c r="J264" s="11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9"/>
      <c r="B265" s="9"/>
      <c r="C265" s="9"/>
      <c r="D265" s="9"/>
      <c r="E265" s="217"/>
      <c r="F265" s="9"/>
      <c r="G265" s="119"/>
      <c r="H265" s="119"/>
      <c r="I265" s="119"/>
      <c r="J265" s="11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9"/>
      <c r="B266" s="9"/>
      <c r="C266" s="9"/>
      <c r="D266" s="9"/>
      <c r="E266" s="217"/>
      <c r="F266" s="9"/>
      <c r="G266" s="119"/>
      <c r="H266" s="119"/>
      <c r="I266" s="119"/>
      <c r="J266" s="11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9"/>
      <c r="B267" s="9"/>
      <c r="C267" s="9"/>
      <c r="D267" s="9"/>
      <c r="E267" s="217"/>
      <c r="F267" s="9"/>
      <c r="G267" s="119"/>
      <c r="H267" s="119"/>
      <c r="I267" s="119"/>
      <c r="J267" s="11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9"/>
      <c r="B268" s="9"/>
      <c r="C268" s="9"/>
      <c r="D268" s="9"/>
      <c r="E268" s="217"/>
      <c r="F268" s="9"/>
      <c r="G268" s="119"/>
      <c r="H268" s="119"/>
      <c r="I268" s="119"/>
      <c r="J268" s="11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9"/>
      <c r="B269" s="9"/>
      <c r="C269" s="9"/>
      <c r="D269" s="9"/>
      <c r="E269" s="217"/>
      <c r="F269" s="9"/>
      <c r="G269" s="119"/>
      <c r="H269" s="119"/>
      <c r="I269" s="119"/>
      <c r="J269" s="11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9"/>
      <c r="B270" s="9"/>
      <c r="C270" s="9"/>
      <c r="D270" s="9"/>
      <c r="E270" s="217"/>
      <c r="F270" s="9"/>
      <c r="G270" s="119"/>
      <c r="H270" s="119"/>
      <c r="I270" s="119"/>
      <c r="J270" s="11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9"/>
      <c r="B271" s="9"/>
      <c r="C271" s="9"/>
      <c r="D271" s="9"/>
      <c r="E271" s="217"/>
      <c r="F271" s="9"/>
      <c r="G271" s="119"/>
      <c r="H271" s="119"/>
      <c r="I271" s="119"/>
      <c r="J271" s="11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9"/>
      <c r="B272" s="9"/>
      <c r="C272" s="9"/>
      <c r="D272" s="9"/>
      <c r="E272" s="217"/>
      <c r="F272" s="9"/>
      <c r="G272" s="119"/>
      <c r="H272" s="119"/>
      <c r="I272" s="119"/>
      <c r="J272" s="11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9"/>
      <c r="B273" s="9"/>
      <c r="C273" s="9"/>
      <c r="D273" s="9"/>
      <c r="E273" s="217"/>
      <c r="F273" s="9"/>
      <c r="G273" s="119"/>
      <c r="H273" s="119"/>
      <c r="I273" s="119"/>
      <c r="J273" s="11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9"/>
      <c r="B274" s="9"/>
      <c r="C274" s="9"/>
      <c r="D274" s="9"/>
      <c r="E274" s="217"/>
      <c r="F274" s="9"/>
      <c r="G274" s="119"/>
      <c r="H274" s="119"/>
      <c r="I274" s="119"/>
      <c r="J274" s="11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9"/>
      <c r="B275" s="9"/>
      <c r="C275" s="9"/>
      <c r="D275" s="9"/>
      <c r="E275" s="217"/>
      <c r="F275" s="9"/>
      <c r="G275" s="119"/>
      <c r="H275" s="119"/>
      <c r="I275" s="119"/>
      <c r="J275" s="11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9"/>
      <c r="B276" s="9"/>
      <c r="C276" s="9"/>
      <c r="D276" s="9"/>
      <c r="E276" s="217"/>
      <c r="F276" s="9"/>
      <c r="G276" s="119"/>
      <c r="H276" s="119"/>
      <c r="I276" s="119"/>
      <c r="J276" s="11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9"/>
      <c r="B277" s="9"/>
      <c r="C277" s="9"/>
      <c r="D277" s="9"/>
      <c r="E277" s="217"/>
      <c r="F277" s="9"/>
      <c r="G277" s="119"/>
      <c r="H277" s="119"/>
      <c r="I277" s="119"/>
      <c r="J277" s="11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9"/>
      <c r="B278" s="9"/>
      <c r="C278" s="9"/>
      <c r="D278" s="9"/>
      <c r="E278" s="217"/>
      <c r="F278" s="9"/>
      <c r="G278" s="119"/>
      <c r="H278" s="119"/>
      <c r="I278" s="119"/>
      <c r="J278" s="11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9"/>
      <c r="B279" s="9"/>
      <c r="C279" s="9"/>
      <c r="D279" s="9"/>
      <c r="E279" s="217"/>
      <c r="F279" s="9"/>
      <c r="G279" s="119"/>
      <c r="H279" s="119"/>
      <c r="I279" s="119"/>
      <c r="J279" s="11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9"/>
      <c r="B280" s="9"/>
      <c r="C280" s="9"/>
      <c r="D280" s="9"/>
      <c r="E280" s="217"/>
      <c r="F280" s="9"/>
      <c r="G280" s="119"/>
      <c r="H280" s="119"/>
      <c r="I280" s="119"/>
      <c r="J280" s="11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9"/>
      <c r="B281" s="9"/>
      <c r="C281" s="9"/>
      <c r="D281" s="9"/>
      <c r="E281" s="217"/>
      <c r="F281" s="9"/>
      <c r="G281" s="119"/>
      <c r="H281" s="119"/>
      <c r="I281" s="119"/>
      <c r="J281" s="11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9"/>
      <c r="B282" s="9"/>
      <c r="C282" s="9"/>
      <c r="D282" s="9"/>
      <c r="E282" s="217"/>
      <c r="F282" s="9"/>
      <c r="G282" s="119"/>
      <c r="H282" s="119"/>
      <c r="I282" s="119"/>
      <c r="J282" s="11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9"/>
      <c r="B283" s="9"/>
      <c r="C283" s="9"/>
      <c r="D283" s="9"/>
      <c r="E283" s="217"/>
      <c r="F283" s="9"/>
      <c r="G283" s="119"/>
      <c r="H283" s="119"/>
      <c r="I283" s="119"/>
      <c r="J283" s="11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9"/>
      <c r="B284" s="9"/>
      <c r="C284" s="9"/>
      <c r="D284" s="9"/>
      <c r="E284" s="217"/>
      <c r="F284" s="9"/>
      <c r="G284" s="119"/>
      <c r="H284" s="119"/>
      <c r="I284" s="119"/>
      <c r="J284" s="11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9"/>
      <c r="B285" s="9"/>
      <c r="C285" s="9"/>
      <c r="D285" s="9"/>
      <c r="E285" s="217"/>
      <c r="F285" s="9"/>
      <c r="G285" s="119"/>
      <c r="H285" s="119"/>
      <c r="I285" s="119"/>
      <c r="J285" s="11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9"/>
      <c r="B286" s="9"/>
      <c r="C286" s="9"/>
      <c r="D286" s="9"/>
      <c r="E286" s="217"/>
      <c r="F286" s="9"/>
      <c r="G286" s="119"/>
      <c r="H286" s="119"/>
      <c r="I286" s="119"/>
      <c r="J286" s="11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9"/>
      <c r="B287" s="9"/>
      <c r="C287" s="9"/>
      <c r="D287" s="9"/>
      <c r="E287" s="217"/>
      <c r="F287" s="9"/>
      <c r="G287" s="119"/>
      <c r="H287" s="119"/>
      <c r="I287" s="119"/>
      <c r="J287" s="11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9"/>
      <c r="B288" s="9"/>
      <c r="C288" s="9"/>
      <c r="D288" s="9"/>
      <c r="E288" s="217"/>
      <c r="F288" s="9"/>
      <c r="G288" s="119"/>
      <c r="H288" s="119"/>
      <c r="I288" s="119"/>
      <c r="J288" s="11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9"/>
      <c r="B289" s="9"/>
      <c r="C289" s="9"/>
      <c r="D289" s="9"/>
      <c r="E289" s="217"/>
      <c r="F289" s="9"/>
      <c r="G289" s="119"/>
      <c r="H289" s="119"/>
      <c r="I289" s="119"/>
      <c r="J289" s="11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9"/>
      <c r="B290" s="9"/>
      <c r="C290" s="9"/>
      <c r="D290" s="9"/>
      <c r="E290" s="217"/>
      <c r="F290" s="9"/>
      <c r="G290" s="119"/>
      <c r="H290" s="119"/>
      <c r="I290" s="119"/>
      <c r="J290" s="11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9"/>
      <c r="B291" s="9"/>
      <c r="C291" s="9"/>
      <c r="D291" s="9"/>
      <c r="E291" s="217"/>
      <c r="F291" s="9"/>
      <c r="G291" s="119"/>
      <c r="H291" s="119"/>
      <c r="I291" s="119"/>
      <c r="J291" s="11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9"/>
      <c r="B292" s="9"/>
      <c r="C292" s="9"/>
      <c r="D292" s="9"/>
      <c r="E292" s="217"/>
      <c r="F292" s="9"/>
      <c r="G292" s="119"/>
      <c r="H292" s="119"/>
      <c r="I292" s="119"/>
      <c r="J292" s="11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9"/>
      <c r="B293" s="9"/>
      <c r="C293" s="9"/>
      <c r="D293" s="9"/>
      <c r="E293" s="217"/>
      <c r="F293" s="9"/>
      <c r="G293" s="119"/>
      <c r="H293" s="119"/>
      <c r="I293" s="119"/>
      <c r="J293" s="11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9"/>
      <c r="B294" s="9"/>
      <c r="C294" s="9"/>
      <c r="D294" s="9"/>
      <c r="E294" s="217"/>
      <c r="F294" s="9"/>
      <c r="G294" s="119"/>
      <c r="H294" s="119"/>
      <c r="I294" s="119"/>
      <c r="J294" s="11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9"/>
      <c r="B295" s="9"/>
      <c r="C295" s="9"/>
      <c r="D295" s="9"/>
      <c r="E295" s="217"/>
      <c r="F295" s="9"/>
      <c r="G295" s="119"/>
      <c r="H295" s="119"/>
      <c r="I295" s="119"/>
      <c r="J295" s="11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9"/>
      <c r="B296" s="9"/>
      <c r="C296" s="9"/>
      <c r="D296" s="9"/>
      <c r="E296" s="217"/>
      <c r="F296" s="9"/>
      <c r="G296" s="119"/>
      <c r="H296" s="119"/>
      <c r="I296" s="119"/>
      <c r="J296" s="11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9"/>
      <c r="B297" s="9"/>
      <c r="C297" s="9"/>
      <c r="D297" s="9"/>
      <c r="E297" s="217"/>
      <c r="F297" s="9"/>
      <c r="G297" s="119"/>
      <c r="H297" s="119"/>
      <c r="I297" s="119"/>
      <c r="J297" s="11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9"/>
      <c r="B298" s="9"/>
      <c r="C298" s="9"/>
      <c r="D298" s="9"/>
      <c r="E298" s="217"/>
      <c r="F298" s="9"/>
      <c r="G298" s="119"/>
      <c r="H298" s="119"/>
      <c r="I298" s="119"/>
      <c r="J298" s="11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9"/>
      <c r="B299" s="9"/>
      <c r="C299" s="9"/>
      <c r="D299" s="9"/>
      <c r="E299" s="217"/>
      <c r="F299" s="9"/>
      <c r="G299" s="119"/>
      <c r="H299" s="119"/>
      <c r="I299" s="119"/>
      <c r="J299" s="11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9"/>
      <c r="B300" s="9"/>
      <c r="C300" s="9"/>
      <c r="D300" s="9"/>
      <c r="E300" s="217"/>
      <c r="F300" s="9"/>
      <c r="G300" s="119"/>
      <c r="H300" s="119"/>
      <c r="I300" s="119"/>
      <c r="J300" s="11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9"/>
      <c r="B301" s="9"/>
      <c r="C301" s="9"/>
      <c r="D301" s="9"/>
      <c r="E301" s="217"/>
      <c r="F301" s="9"/>
      <c r="G301" s="119"/>
      <c r="H301" s="119"/>
      <c r="I301" s="119"/>
      <c r="J301" s="11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9"/>
      <c r="B302" s="9"/>
      <c r="C302" s="9"/>
      <c r="D302" s="9"/>
      <c r="E302" s="217"/>
      <c r="F302" s="9"/>
      <c r="G302" s="119"/>
      <c r="H302" s="119"/>
      <c r="I302" s="119"/>
      <c r="J302" s="11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9"/>
      <c r="B303" s="9"/>
      <c r="C303" s="9"/>
      <c r="D303" s="9"/>
      <c r="E303" s="217"/>
      <c r="F303" s="9"/>
      <c r="G303" s="119"/>
      <c r="H303" s="119"/>
      <c r="I303" s="119"/>
      <c r="J303" s="11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9"/>
      <c r="B304" s="9"/>
      <c r="C304" s="9"/>
      <c r="D304" s="9"/>
      <c r="E304" s="217"/>
      <c r="F304" s="9"/>
      <c r="G304" s="119"/>
      <c r="H304" s="119"/>
      <c r="I304" s="119"/>
      <c r="J304" s="11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9"/>
      <c r="B305" s="9"/>
      <c r="C305" s="9"/>
      <c r="D305" s="9"/>
      <c r="E305" s="217"/>
      <c r="F305" s="9"/>
      <c r="G305" s="119"/>
      <c r="H305" s="119"/>
      <c r="I305" s="119"/>
      <c r="J305" s="11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9"/>
      <c r="B306" s="9"/>
      <c r="C306" s="9"/>
      <c r="D306" s="9"/>
      <c r="E306" s="217"/>
      <c r="F306" s="9"/>
      <c r="G306" s="119"/>
      <c r="H306" s="119"/>
      <c r="I306" s="119"/>
      <c r="J306" s="11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9"/>
      <c r="B307" s="9"/>
      <c r="C307" s="9"/>
      <c r="D307" s="9"/>
      <c r="E307" s="217"/>
      <c r="F307" s="9"/>
      <c r="G307" s="119"/>
      <c r="H307" s="119"/>
      <c r="I307" s="119"/>
      <c r="J307" s="11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9"/>
      <c r="B308" s="9"/>
      <c r="C308" s="9"/>
      <c r="D308" s="9"/>
      <c r="E308" s="217"/>
      <c r="F308" s="9"/>
      <c r="G308" s="119"/>
      <c r="H308" s="119"/>
      <c r="I308" s="119"/>
      <c r="J308" s="11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9"/>
      <c r="B309" s="9"/>
      <c r="C309" s="9"/>
      <c r="D309" s="9"/>
      <c r="E309" s="217"/>
      <c r="F309" s="9"/>
      <c r="G309" s="119"/>
      <c r="H309" s="119"/>
      <c r="I309" s="119"/>
      <c r="J309" s="11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9"/>
      <c r="B310" s="9"/>
      <c r="C310" s="9"/>
      <c r="D310" s="9"/>
      <c r="E310" s="217"/>
      <c r="F310" s="9"/>
      <c r="G310" s="119"/>
      <c r="H310" s="119"/>
      <c r="I310" s="119"/>
      <c r="J310" s="11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9"/>
      <c r="B311" s="9"/>
      <c r="C311" s="9"/>
      <c r="D311" s="9"/>
      <c r="E311" s="217"/>
      <c r="F311" s="9"/>
      <c r="G311" s="119"/>
      <c r="H311" s="119"/>
      <c r="I311" s="119"/>
      <c r="J311" s="11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9"/>
      <c r="B312" s="9"/>
      <c r="C312" s="9"/>
      <c r="D312" s="9"/>
      <c r="E312" s="217"/>
      <c r="F312" s="9"/>
      <c r="G312" s="119"/>
      <c r="H312" s="119"/>
      <c r="I312" s="119"/>
      <c r="J312" s="11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9"/>
      <c r="B313" s="9"/>
      <c r="C313" s="9"/>
      <c r="D313" s="9"/>
      <c r="E313" s="217"/>
      <c r="F313" s="9"/>
      <c r="G313" s="119"/>
      <c r="H313" s="119"/>
      <c r="I313" s="119"/>
      <c r="J313" s="11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9"/>
      <c r="B314" s="9"/>
      <c r="C314" s="9"/>
      <c r="D314" s="9"/>
      <c r="E314" s="217"/>
      <c r="F314" s="9"/>
      <c r="G314" s="119"/>
      <c r="H314" s="119"/>
      <c r="I314" s="119"/>
      <c r="J314" s="11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9"/>
      <c r="B315" s="9"/>
      <c r="C315" s="9"/>
      <c r="D315" s="9"/>
      <c r="E315" s="217"/>
      <c r="F315" s="9"/>
      <c r="G315" s="119"/>
      <c r="H315" s="119"/>
      <c r="I315" s="119"/>
      <c r="J315" s="11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9"/>
      <c r="B316" s="9"/>
      <c r="C316" s="9"/>
      <c r="D316" s="9"/>
      <c r="E316" s="217"/>
      <c r="F316" s="9"/>
      <c r="G316" s="119"/>
      <c r="H316" s="119"/>
      <c r="I316" s="119"/>
      <c r="J316" s="11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9"/>
      <c r="B317" s="9"/>
      <c r="C317" s="9"/>
      <c r="D317" s="9"/>
      <c r="E317" s="217"/>
      <c r="F317" s="9"/>
      <c r="G317" s="119"/>
      <c r="H317" s="119"/>
      <c r="I317" s="119"/>
      <c r="J317" s="11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9"/>
      <c r="B318" s="9"/>
      <c r="C318" s="9"/>
      <c r="D318" s="9"/>
      <c r="E318" s="217"/>
      <c r="F318" s="9"/>
      <c r="G318" s="119"/>
      <c r="H318" s="119"/>
      <c r="I318" s="119"/>
      <c r="J318" s="11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9"/>
      <c r="B319" s="9"/>
      <c r="C319" s="9"/>
      <c r="D319" s="9"/>
      <c r="E319" s="217"/>
      <c r="F319" s="9"/>
      <c r="G319" s="119"/>
      <c r="H319" s="119"/>
      <c r="I319" s="119"/>
      <c r="J319" s="11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9"/>
      <c r="B320" s="9"/>
      <c r="C320" s="9"/>
      <c r="D320" s="9"/>
      <c r="E320" s="217"/>
      <c r="F320" s="9"/>
      <c r="G320" s="119"/>
      <c r="H320" s="119"/>
      <c r="I320" s="119"/>
      <c r="J320" s="11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9"/>
      <c r="B321" s="9"/>
      <c r="C321" s="9"/>
      <c r="D321" s="9"/>
      <c r="E321" s="217"/>
      <c r="F321" s="9"/>
      <c r="G321" s="119"/>
      <c r="H321" s="119"/>
      <c r="I321" s="119"/>
      <c r="J321" s="11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9"/>
      <c r="B322" s="9"/>
      <c r="C322" s="9"/>
      <c r="D322" s="9"/>
      <c r="E322" s="217"/>
      <c r="F322" s="9"/>
      <c r="G322" s="119"/>
      <c r="H322" s="119"/>
      <c r="I322" s="119"/>
      <c r="J322" s="11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9"/>
      <c r="B323" s="9"/>
      <c r="C323" s="9"/>
      <c r="D323" s="9"/>
      <c r="E323" s="217"/>
      <c r="F323" s="9"/>
      <c r="G323" s="119"/>
      <c r="H323" s="119"/>
      <c r="I323" s="119"/>
      <c r="J323" s="11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9"/>
      <c r="B324" s="9"/>
      <c r="C324" s="9"/>
      <c r="D324" s="9"/>
      <c r="E324" s="217"/>
      <c r="F324" s="9"/>
      <c r="G324" s="119"/>
      <c r="H324" s="119"/>
      <c r="I324" s="119"/>
      <c r="J324" s="11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9"/>
      <c r="B325" s="9"/>
      <c r="C325" s="9"/>
      <c r="D325" s="9"/>
      <c r="E325" s="217"/>
      <c r="F325" s="9"/>
      <c r="G325" s="119"/>
      <c r="H325" s="119"/>
      <c r="I325" s="119"/>
      <c r="J325" s="11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9"/>
      <c r="B326" s="9"/>
      <c r="C326" s="9"/>
      <c r="D326" s="9"/>
      <c r="E326" s="217"/>
      <c r="F326" s="9"/>
      <c r="G326" s="119"/>
      <c r="H326" s="119"/>
      <c r="I326" s="119"/>
      <c r="J326" s="11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9"/>
      <c r="B327" s="9"/>
      <c r="C327" s="9"/>
      <c r="D327" s="9"/>
      <c r="E327" s="217"/>
      <c r="F327" s="9"/>
      <c r="G327" s="119"/>
      <c r="H327" s="119"/>
      <c r="I327" s="119"/>
      <c r="J327" s="11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9"/>
      <c r="B328" s="9"/>
      <c r="C328" s="9"/>
      <c r="D328" s="9"/>
      <c r="E328" s="217"/>
      <c r="F328" s="9"/>
      <c r="G328" s="119"/>
      <c r="H328" s="119"/>
      <c r="I328" s="119"/>
      <c r="J328" s="11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9"/>
      <c r="B329" s="9"/>
      <c r="C329" s="9"/>
      <c r="D329" s="9"/>
      <c r="E329" s="217"/>
      <c r="F329" s="9"/>
      <c r="G329" s="119"/>
      <c r="H329" s="119"/>
      <c r="I329" s="119"/>
      <c r="J329" s="11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9"/>
      <c r="B330" s="9"/>
      <c r="C330" s="9"/>
      <c r="D330" s="9"/>
      <c r="E330" s="217"/>
      <c r="F330" s="9"/>
      <c r="G330" s="119"/>
      <c r="H330" s="119"/>
      <c r="I330" s="119"/>
      <c r="J330" s="11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9"/>
      <c r="B331" s="9"/>
      <c r="C331" s="9"/>
      <c r="D331" s="9"/>
      <c r="E331" s="217"/>
      <c r="F331" s="9"/>
      <c r="G331" s="119"/>
      <c r="H331" s="119"/>
      <c r="I331" s="119"/>
      <c r="J331" s="11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9"/>
      <c r="B332" s="9"/>
      <c r="C332" s="9"/>
      <c r="D332" s="9"/>
      <c r="E332" s="217"/>
      <c r="F332" s="9"/>
      <c r="G332" s="119"/>
      <c r="H332" s="119"/>
      <c r="I332" s="119"/>
      <c r="J332" s="11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9"/>
      <c r="B333" s="9"/>
      <c r="C333" s="9"/>
      <c r="D333" s="9"/>
      <c r="E333" s="217"/>
      <c r="F333" s="9"/>
      <c r="G333" s="119"/>
      <c r="H333" s="119"/>
      <c r="I333" s="119"/>
      <c r="J333" s="11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9"/>
      <c r="B334" s="9"/>
      <c r="C334" s="9"/>
      <c r="D334" s="9"/>
      <c r="E334" s="217"/>
      <c r="F334" s="9"/>
      <c r="G334" s="119"/>
      <c r="H334" s="119"/>
      <c r="I334" s="119"/>
      <c r="J334" s="11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9"/>
      <c r="B335" s="9"/>
      <c r="C335" s="9"/>
      <c r="D335" s="9"/>
      <c r="E335" s="217"/>
      <c r="F335" s="9"/>
      <c r="G335" s="119"/>
      <c r="H335" s="119"/>
      <c r="I335" s="119"/>
      <c r="J335" s="11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9"/>
      <c r="B336" s="9"/>
      <c r="C336" s="9"/>
      <c r="D336" s="9"/>
      <c r="E336" s="217"/>
      <c r="F336" s="9"/>
      <c r="G336" s="119"/>
      <c r="H336" s="119"/>
      <c r="I336" s="119"/>
      <c r="J336" s="11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9"/>
      <c r="B337" s="9"/>
      <c r="C337" s="9"/>
      <c r="D337" s="9"/>
      <c r="E337" s="217"/>
      <c r="F337" s="9"/>
      <c r="G337" s="119"/>
      <c r="H337" s="119"/>
      <c r="I337" s="119"/>
      <c r="J337" s="11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9"/>
      <c r="B338" s="9"/>
      <c r="C338" s="9"/>
      <c r="D338" s="9"/>
      <c r="E338" s="217"/>
      <c r="F338" s="9"/>
      <c r="G338" s="119"/>
      <c r="H338" s="119"/>
      <c r="I338" s="119"/>
      <c r="J338" s="11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9"/>
      <c r="B339" s="9"/>
      <c r="C339" s="9"/>
      <c r="D339" s="9"/>
      <c r="E339" s="217"/>
      <c r="F339" s="9"/>
      <c r="G339" s="119"/>
      <c r="H339" s="119"/>
      <c r="I339" s="119"/>
      <c r="J339" s="11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9"/>
      <c r="B340" s="9"/>
      <c r="C340" s="9"/>
      <c r="D340" s="9"/>
      <c r="E340" s="217"/>
      <c r="F340" s="9"/>
      <c r="G340" s="119"/>
      <c r="H340" s="119"/>
      <c r="I340" s="119"/>
      <c r="J340" s="11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9"/>
      <c r="B341" s="9"/>
      <c r="C341" s="9"/>
      <c r="D341" s="9"/>
      <c r="E341" s="217"/>
      <c r="F341" s="9"/>
      <c r="G341" s="119"/>
      <c r="H341" s="119"/>
      <c r="I341" s="119"/>
      <c r="J341" s="11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9"/>
      <c r="B342" s="9"/>
      <c r="C342" s="9"/>
      <c r="D342" s="9"/>
      <c r="E342" s="217"/>
      <c r="F342" s="9"/>
      <c r="G342" s="119"/>
      <c r="H342" s="119"/>
      <c r="I342" s="119"/>
      <c r="J342" s="11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9"/>
      <c r="B343" s="9"/>
      <c r="C343" s="9"/>
      <c r="D343" s="9"/>
      <c r="E343" s="217"/>
      <c r="F343" s="9"/>
      <c r="G343" s="119"/>
      <c r="H343" s="119"/>
      <c r="I343" s="119"/>
      <c r="J343" s="11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9"/>
      <c r="B344" s="9"/>
      <c r="C344" s="9"/>
      <c r="D344" s="9"/>
      <c r="E344" s="217"/>
      <c r="F344" s="9"/>
      <c r="G344" s="119"/>
      <c r="H344" s="119"/>
      <c r="I344" s="119"/>
      <c r="J344" s="11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9"/>
      <c r="B345" s="9"/>
      <c r="C345" s="9"/>
      <c r="D345" s="9"/>
      <c r="E345" s="217"/>
      <c r="F345" s="9"/>
      <c r="G345" s="119"/>
      <c r="H345" s="119"/>
      <c r="I345" s="119"/>
      <c r="J345" s="11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9"/>
      <c r="B346" s="9"/>
      <c r="C346" s="9"/>
      <c r="D346" s="9"/>
      <c r="E346" s="217"/>
      <c r="F346" s="9"/>
      <c r="G346" s="119"/>
      <c r="H346" s="119"/>
      <c r="I346" s="119"/>
      <c r="J346" s="11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9"/>
      <c r="B347" s="9"/>
      <c r="C347" s="9"/>
      <c r="D347" s="9"/>
      <c r="E347" s="217"/>
      <c r="F347" s="9"/>
      <c r="G347" s="119"/>
      <c r="H347" s="119"/>
      <c r="I347" s="119"/>
      <c r="J347" s="11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9"/>
      <c r="B348" s="9"/>
      <c r="C348" s="9"/>
      <c r="D348" s="9"/>
      <c r="E348" s="217"/>
      <c r="F348" s="9"/>
      <c r="G348" s="119"/>
      <c r="H348" s="119"/>
      <c r="I348" s="119"/>
      <c r="J348" s="11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9"/>
      <c r="B349" s="9"/>
      <c r="C349" s="9"/>
      <c r="D349" s="9"/>
      <c r="E349" s="217"/>
      <c r="F349" s="9"/>
      <c r="G349" s="119"/>
      <c r="H349" s="119"/>
      <c r="I349" s="119"/>
      <c r="J349" s="11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9"/>
      <c r="B350" s="9"/>
      <c r="C350" s="9"/>
      <c r="D350" s="9"/>
      <c r="E350" s="217"/>
      <c r="F350" s="9"/>
      <c r="G350" s="119"/>
      <c r="H350" s="119"/>
      <c r="I350" s="119"/>
      <c r="J350" s="11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9"/>
      <c r="B351" s="9"/>
      <c r="C351" s="9"/>
      <c r="D351" s="9"/>
      <c r="E351" s="217"/>
      <c r="F351" s="9"/>
      <c r="G351" s="119"/>
      <c r="H351" s="119"/>
      <c r="I351" s="119"/>
      <c r="J351" s="11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9"/>
      <c r="B352" s="9"/>
      <c r="C352" s="9"/>
      <c r="D352" s="9"/>
      <c r="E352" s="217"/>
      <c r="F352" s="9"/>
      <c r="G352" s="119"/>
      <c r="H352" s="119"/>
      <c r="I352" s="119"/>
      <c r="J352" s="11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9"/>
      <c r="B353" s="9"/>
      <c r="C353" s="9"/>
      <c r="D353" s="9"/>
      <c r="E353" s="217"/>
      <c r="F353" s="9"/>
      <c r="G353" s="119"/>
      <c r="H353" s="119"/>
      <c r="I353" s="119"/>
      <c r="J353" s="11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9"/>
      <c r="B354" s="9"/>
      <c r="C354" s="9"/>
      <c r="D354" s="9"/>
      <c r="E354" s="217"/>
      <c r="F354" s="9"/>
      <c r="G354" s="119"/>
      <c r="H354" s="119"/>
      <c r="I354" s="119"/>
      <c r="J354" s="11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9"/>
      <c r="B355" s="9"/>
      <c r="C355" s="9"/>
      <c r="D355" s="9"/>
      <c r="E355" s="217"/>
      <c r="F355" s="9"/>
      <c r="G355" s="119"/>
      <c r="H355" s="119"/>
      <c r="I355" s="119"/>
      <c r="J355" s="11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9"/>
      <c r="B356" s="9"/>
      <c r="C356" s="9"/>
      <c r="D356" s="9"/>
      <c r="E356" s="217"/>
      <c r="F356" s="9"/>
      <c r="G356" s="119"/>
      <c r="H356" s="119"/>
      <c r="I356" s="119"/>
      <c r="J356" s="11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9"/>
      <c r="B357" s="9"/>
      <c r="C357" s="9"/>
      <c r="D357" s="9"/>
      <c r="E357" s="217"/>
      <c r="F357" s="9"/>
      <c r="G357" s="119"/>
      <c r="H357" s="119"/>
      <c r="I357" s="119"/>
      <c r="J357" s="11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9"/>
      <c r="B358" s="9"/>
      <c r="C358" s="9"/>
      <c r="D358" s="9"/>
      <c r="E358" s="217"/>
      <c r="F358" s="9"/>
      <c r="G358" s="119"/>
      <c r="H358" s="119"/>
      <c r="I358" s="119"/>
      <c r="J358" s="11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9"/>
      <c r="B359" s="9"/>
      <c r="C359" s="9"/>
      <c r="D359" s="9"/>
      <c r="E359" s="217"/>
      <c r="F359" s="9"/>
      <c r="G359" s="119"/>
      <c r="H359" s="119"/>
      <c r="I359" s="119"/>
      <c r="J359" s="11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9"/>
      <c r="B360" s="9"/>
      <c r="C360" s="9"/>
      <c r="D360" s="9"/>
      <c r="E360" s="217"/>
      <c r="F360" s="9"/>
      <c r="G360" s="119"/>
      <c r="H360" s="119"/>
      <c r="I360" s="119"/>
      <c r="J360" s="11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9"/>
      <c r="B361" s="9"/>
      <c r="C361" s="9"/>
      <c r="D361" s="9"/>
      <c r="E361" s="217"/>
      <c r="F361" s="9"/>
      <c r="G361" s="119"/>
      <c r="H361" s="119"/>
      <c r="I361" s="119"/>
      <c r="J361" s="11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9"/>
      <c r="B362" s="9"/>
      <c r="C362" s="9"/>
      <c r="D362" s="9"/>
      <c r="E362" s="217"/>
      <c r="F362" s="9"/>
      <c r="G362" s="119"/>
      <c r="H362" s="119"/>
      <c r="I362" s="119"/>
      <c r="J362" s="11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9"/>
      <c r="B363" s="9"/>
      <c r="C363" s="9"/>
      <c r="D363" s="9"/>
      <c r="E363" s="217"/>
      <c r="F363" s="9"/>
      <c r="G363" s="119"/>
      <c r="H363" s="119"/>
      <c r="I363" s="119"/>
      <c r="J363" s="11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9"/>
      <c r="B364" s="9"/>
      <c r="C364" s="9"/>
      <c r="D364" s="9"/>
      <c r="E364" s="217"/>
      <c r="F364" s="9"/>
      <c r="G364" s="119"/>
      <c r="H364" s="119"/>
      <c r="I364" s="119"/>
      <c r="J364" s="11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9"/>
      <c r="B365" s="9"/>
      <c r="C365" s="9"/>
      <c r="D365" s="9"/>
      <c r="E365" s="217"/>
      <c r="F365" s="9"/>
      <c r="G365" s="119"/>
      <c r="H365" s="119"/>
      <c r="I365" s="119"/>
      <c r="J365" s="11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9"/>
      <c r="B366" s="9"/>
      <c r="C366" s="9"/>
      <c r="D366" s="9"/>
      <c r="E366" s="217"/>
      <c r="F366" s="9"/>
      <c r="G366" s="119"/>
      <c r="H366" s="119"/>
      <c r="I366" s="119"/>
      <c r="J366" s="11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9"/>
      <c r="B367" s="9"/>
      <c r="C367" s="9"/>
      <c r="D367" s="9"/>
      <c r="E367" s="217"/>
      <c r="F367" s="9"/>
      <c r="G367" s="119"/>
      <c r="H367" s="119"/>
      <c r="I367" s="119"/>
      <c r="J367" s="11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9"/>
      <c r="B368" s="9"/>
      <c r="C368" s="9"/>
      <c r="D368" s="9"/>
      <c r="E368" s="217"/>
      <c r="F368" s="9"/>
      <c r="G368" s="119"/>
      <c r="H368" s="119"/>
      <c r="I368" s="119"/>
      <c r="J368" s="11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9"/>
      <c r="B369" s="9"/>
      <c r="C369" s="9"/>
      <c r="D369" s="9"/>
      <c r="E369" s="217"/>
      <c r="F369" s="9"/>
      <c r="G369" s="119"/>
      <c r="H369" s="119"/>
      <c r="I369" s="119"/>
      <c r="J369" s="11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9"/>
      <c r="B370" s="9"/>
      <c r="C370" s="9"/>
      <c r="D370" s="9"/>
      <c r="E370" s="217"/>
      <c r="F370" s="9"/>
      <c r="G370" s="119"/>
      <c r="H370" s="119"/>
      <c r="I370" s="119"/>
      <c r="J370" s="11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9"/>
      <c r="B371" s="9"/>
      <c r="C371" s="9"/>
      <c r="D371" s="9"/>
      <c r="E371" s="217"/>
      <c r="F371" s="9"/>
      <c r="G371" s="119"/>
      <c r="H371" s="119"/>
      <c r="I371" s="119"/>
      <c r="J371" s="11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9"/>
      <c r="B372" s="9"/>
      <c r="C372" s="9"/>
      <c r="D372" s="9"/>
      <c r="E372" s="217"/>
      <c r="F372" s="9"/>
      <c r="G372" s="119"/>
      <c r="H372" s="119"/>
      <c r="I372" s="119"/>
      <c r="J372" s="11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9"/>
      <c r="B373" s="9"/>
      <c r="C373" s="9"/>
      <c r="D373" s="9"/>
      <c r="E373" s="217"/>
      <c r="F373" s="9"/>
      <c r="G373" s="119"/>
      <c r="H373" s="119"/>
      <c r="I373" s="119"/>
      <c r="J373" s="11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9"/>
      <c r="B374" s="9"/>
      <c r="C374" s="9"/>
      <c r="D374" s="9"/>
      <c r="E374" s="217"/>
      <c r="F374" s="9"/>
      <c r="G374" s="119"/>
      <c r="H374" s="119"/>
      <c r="I374" s="119"/>
      <c r="J374" s="11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9"/>
      <c r="B375" s="9"/>
      <c r="C375" s="9"/>
      <c r="D375" s="9"/>
      <c r="E375" s="217"/>
      <c r="F375" s="9"/>
      <c r="G375" s="119"/>
      <c r="H375" s="119"/>
      <c r="I375" s="119"/>
      <c r="J375" s="11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9"/>
      <c r="B376" s="9"/>
      <c r="C376" s="9"/>
      <c r="D376" s="9"/>
      <c r="E376" s="217"/>
      <c r="F376" s="9"/>
      <c r="G376" s="119"/>
      <c r="H376" s="119"/>
      <c r="I376" s="119"/>
      <c r="J376" s="11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9"/>
      <c r="B377" s="9"/>
      <c r="C377" s="9"/>
      <c r="D377" s="9"/>
      <c r="E377" s="217"/>
      <c r="F377" s="9"/>
      <c r="G377" s="119"/>
      <c r="H377" s="119"/>
      <c r="I377" s="119"/>
      <c r="J377" s="11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9"/>
      <c r="B378" s="9"/>
      <c r="C378" s="9"/>
      <c r="D378" s="9"/>
      <c r="E378" s="217"/>
      <c r="F378" s="9"/>
      <c r="G378" s="119"/>
      <c r="H378" s="119"/>
      <c r="I378" s="119"/>
      <c r="J378" s="11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9"/>
      <c r="B379" s="9"/>
      <c r="C379" s="9"/>
      <c r="D379" s="9"/>
      <c r="E379" s="217"/>
      <c r="F379" s="9"/>
      <c r="G379" s="119"/>
      <c r="H379" s="119"/>
      <c r="I379" s="119"/>
      <c r="J379" s="11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9"/>
      <c r="B380" s="9"/>
      <c r="C380" s="9"/>
      <c r="D380" s="9"/>
      <c r="E380" s="217"/>
      <c r="F380" s="9"/>
      <c r="G380" s="119"/>
      <c r="H380" s="119"/>
      <c r="I380" s="119"/>
      <c r="J380" s="11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9"/>
      <c r="B381" s="9"/>
      <c r="C381" s="9"/>
      <c r="D381" s="9"/>
      <c r="E381" s="217"/>
      <c r="F381" s="9"/>
      <c r="G381" s="119"/>
      <c r="H381" s="119"/>
      <c r="I381" s="119"/>
      <c r="J381" s="11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9"/>
      <c r="B382" s="9"/>
      <c r="C382" s="9"/>
      <c r="D382" s="9"/>
      <c r="E382" s="217"/>
      <c r="F382" s="9"/>
      <c r="G382" s="119"/>
      <c r="H382" s="119"/>
      <c r="I382" s="119"/>
      <c r="J382" s="11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9"/>
      <c r="B383" s="9"/>
      <c r="C383" s="9"/>
      <c r="D383" s="9"/>
      <c r="E383" s="217"/>
      <c r="F383" s="9"/>
      <c r="G383" s="119"/>
      <c r="H383" s="119"/>
      <c r="I383" s="119"/>
      <c r="J383" s="11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9"/>
      <c r="B384" s="9"/>
      <c r="C384" s="9"/>
      <c r="D384" s="9"/>
      <c r="E384" s="217"/>
      <c r="F384" s="9"/>
      <c r="G384" s="119"/>
      <c r="H384" s="119"/>
      <c r="I384" s="119"/>
      <c r="J384" s="11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9"/>
      <c r="B385" s="9"/>
      <c r="C385" s="9"/>
      <c r="D385" s="9"/>
      <c r="E385" s="217"/>
      <c r="F385" s="9"/>
      <c r="G385" s="119"/>
      <c r="H385" s="119"/>
      <c r="I385" s="119"/>
      <c r="J385" s="11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9"/>
      <c r="B386" s="9"/>
      <c r="C386" s="9"/>
      <c r="D386" s="9"/>
      <c r="E386" s="217"/>
      <c r="F386" s="9"/>
      <c r="G386" s="119"/>
      <c r="H386" s="119"/>
      <c r="I386" s="119"/>
      <c r="J386" s="11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9"/>
      <c r="B387" s="9"/>
      <c r="C387" s="9"/>
      <c r="D387" s="9"/>
      <c r="E387" s="217"/>
      <c r="F387" s="9"/>
      <c r="G387" s="119"/>
      <c r="H387" s="119"/>
      <c r="I387" s="119"/>
      <c r="J387" s="11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9"/>
      <c r="B388" s="9"/>
      <c r="C388" s="9"/>
      <c r="D388" s="9"/>
      <c r="E388" s="217"/>
      <c r="F388" s="9"/>
      <c r="G388" s="119"/>
      <c r="H388" s="119"/>
      <c r="I388" s="119"/>
      <c r="J388" s="11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9"/>
      <c r="B389" s="9"/>
      <c r="C389" s="9"/>
      <c r="D389" s="9"/>
      <c r="E389" s="217"/>
      <c r="F389" s="9"/>
      <c r="G389" s="119"/>
      <c r="H389" s="119"/>
      <c r="I389" s="119"/>
      <c r="J389" s="11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9"/>
      <c r="B390" s="9"/>
      <c r="C390" s="9"/>
      <c r="D390" s="9"/>
      <c r="E390" s="217"/>
      <c r="F390" s="9"/>
      <c r="G390" s="119"/>
      <c r="H390" s="119"/>
      <c r="I390" s="119"/>
      <c r="J390" s="11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9"/>
      <c r="B391" s="9"/>
      <c r="C391" s="9"/>
      <c r="D391" s="9"/>
      <c r="E391" s="217"/>
      <c r="F391" s="9"/>
      <c r="G391" s="119"/>
      <c r="H391" s="119"/>
      <c r="I391" s="119"/>
      <c r="J391" s="11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9"/>
      <c r="B392" s="9"/>
      <c r="C392" s="9"/>
      <c r="D392" s="9"/>
      <c r="E392" s="217"/>
      <c r="F392" s="9"/>
      <c r="G392" s="119"/>
      <c r="H392" s="119"/>
      <c r="I392" s="119"/>
      <c r="J392" s="11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9"/>
      <c r="B393" s="9"/>
      <c r="C393" s="9"/>
      <c r="D393" s="9"/>
      <c r="E393" s="217"/>
      <c r="F393" s="9"/>
      <c r="G393" s="119"/>
      <c r="H393" s="119"/>
      <c r="I393" s="119"/>
      <c r="J393" s="11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9"/>
      <c r="B394" s="9"/>
      <c r="C394" s="9"/>
      <c r="D394" s="9"/>
      <c r="E394" s="217"/>
      <c r="F394" s="9"/>
      <c r="G394" s="119"/>
      <c r="H394" s="119"/>
      <c r="I394" s="119"/>
      <c r="J394" s="11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9"/>
      <c r="B395" s="9"/>
      <c r="C395" s="9"/>
      <c r="D395" s="9"/>
      <c r="E395" s="217"/>
      <c r="F395" s="9"/>
      <c r="G395" s="119"/>
      <c r="H395" s="119"/>
      <c r="I395" s="119"/>
      <c r="J395" s="11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9"/>
      <c r="B396" s="9"/>
      <c r="C396" s="9"/>
      <c r="D396" s="9"/>
      <c r="E396" s="217"/>
      <c r="F396" s="9"/>
      <c r="G396" s="119"/>
      <c r="H396" s="119"/>
      <c r="I396" s="119"/>
      <c r="J396" s="11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9"/>
      <c r="B397" s="9"/>
      <c r="C397" s="9"/>
      <c r="D397" s="9"/>
      <c r="E397" s="217"/>
      <c r="F397" s="9"/>
      <c r="G397" s="119"/>
      <c r="H397" s="119"/>
      <c r="I397" s="119"/>
      <c r="J397" s="11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9"/>
      <c r="B398" s="9"/>
      <c r="C398" s="9"/>
      <c r="D398" s="9"/>
      <c r="E398" s="217"/>
      <c r="F398" s="9"/>
      <c r="G398" s="119"/>
      <c r="H398" s="119"/>
      <c r="I398" s="119"/>
      <c r="J398" s="11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9"/>
      <c r="B399" s="9"/>
      <c r="C399" s="9"/>
      <c r="D399" s="9"/>
      <c r="E399" s="217"/>
      <c r="F399" s="9"/>
      <c r="G399" s="119"/>
      <c r="H399" s="119"/>
      <c r="I399" s="119"/>
      <c r="J399" s="11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9"/>
      <c r="B400" s="9"/>
      <c r="C400" s="9"/>
      <c r="D400" s="9"/>
      <c r="E400" s="217"/>
      <c r="F400" s="9"/>
      <c r="G400" s="119"/>
      <c r="H400" s="119"/>
      <c r="I400" s="119"/>
      <c r="J400" s="11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9"/>
      <c r="B401" s="9"/>
      <c r="C401" s="9"/>
      <c r="D401" s="9"/>
      <c r="E401" s="217"/>
      <c r="F401" s="9"/>
      <c r="G401" s="119"/>
      <c r="H401" s="119"/>
      <c r="I401" s="119"/>
      <c r="J401" s="11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9"/>
      <c r="B402" s="9"/>
      <c r="C402" s="9"/>
      <c r="D402" s="9"/>
      <c r="E402" s="217"/>
      <c r="F402" s="9"/>
      <c r="G402" s="119"/>
      <c r="H402" s="119"/>
      <c r="I402" s="119"/>
      <c r="J402" s="11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9"/>
      <c r="B403" s="9"/>
      <c r="C403" s="9"/>
      <c r="D403" s="9"/>
      <c r="E403" s="217"/>
      <c r="F403" s="9"/>
      <c r="G403" s="119"/>
      <c r="H403" s="119"/>
      <c r="I403" s="119"/>
      <c r="J403" s="11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9"/>
      <c r="B404" s="9"/>
      <c r="C404" s="9"/>
      <c r="D404" s="9"/>
      <c r="E404" s="217"/>
      <c r="F404" s="9"/>
      <c r="G404" s="119"/>
      <c r="H404" s="119"/>
      <c r="I404" s="119"/>
      <c r="J404" s="11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9"/>
      <c r="B405" s="9"/>
      <c r="C405" s="9"/>
      <c r="D405" s="9"/>
      <c r="E405" s="217"/>
      <c r="F405" s="9"/>
      <c r="G405" s="119"/>
      <c r="H405" s="119"/>
      <c r="I405" s="119"/>
      <c r="J405" s="11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9"/>
      <c r="B406" s="9"/>
      <c r="C406" s="9"/>
      <c r="D406" s="9"/>
      <c r="E406" s="217"/>
      <c r="F406" s="9"/>
      <c r="G406" s="119"/>
      <c r="H406" s="119"/>
      <c r="I406" s="119"/>
      <c r="J406" s="11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9"/>
      <c r="B407" s="9"/>
      <c r="C407" s="9"/>
      <c r="D407" s="9"/>
      <c r="E407" s="217"/>
      <c r="F407" s="9"/>
      <c r="G407" s="119"/>
      <c r="H407" s="119"/>
      <c r="I407" s="119"/>
      <c r="J407" s="11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9"/>
      <c r="B408" s="9"/>
      <c r="C408" s="9"/>
      <c r="D408" s="9"/>
      <c r="E408" s="217"/>
      <c r="F408" s="9"/>
      <c r="G408" s="119"/>
      <c r="H408" s="119"/>
      <c r="I408" s="119"/>
      <c r="J408" s="11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9"/>
      <c r="B409" s="9"/>
      <c r="C409" s="9"/>
      <c r="D409" s="9"/>
      <c r="E409" s="217"/>
      <c r="F409" s="9"/>
      <c r="G409" s="119"/>
      <c r="H409" s="119"/>
      <c r="I409" s="119"/>
      <c r="J409" s="11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9"/>
      <c r="B410" s="9"/>
      <c r="C410" s="9"/>
      <c r="D410" s="9"/>
      <c r="E410" s="217"/>
      <c r="F410" s="9"/>
      <c r="G410" s="119"/>
      <c r="H410" s="119"/>
      <c r="I410" s="119"/>
      <c r="J410" s="11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9"/>
      <c r="B411" s="9"/>
      <c r="C411" s="9"/>
      <c r="D411" s="9"/>
      <c r="E411" s="217"/>
      <c r="F411" s="9"/>
      <c r="G411" s="119"/>
      <c r="H411" s="119"/>
      <c r="I411" s="119"/>
      <c r="J411" s="11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9"/>
      <c r="B412" s="9"/>
      <c r="C412" s="9"/>
      <c r="D412" s="9"/>
      <c r="E412" s="217"/>
      <c r="F412" s="9"/>
      <c r="G412" s="119"/>
      <c r="H412" s="119"/>
      <c r="I412" s="119"/>
      <c r="J412" s="11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9"/>
      <c r="B413" s="9"/>
      <c r="C413" s="9"/>
      <c r="D413" s="9"/>
      <c r="E413" s="217"/>
      <c r="F413" s="9"/>
      <c r="G413" s="119"/>
      <c r="H413" s="119"/>
      <c r="I413" s="119"/>
      <c r="J413" s="11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9"/>
      <c r="B414" s="9"/>
      <c r="C414" s="9"/>
      <c r="D414" s="9"/>
      <c r="E414" s="217"/>
      <c r="F414" s="9"/>
      <c r="G414" s="119"/>
      <c r="H414" s="119"/>
      <c r="I414" s="119"/>
      <c r="J414" s="11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9"/>
      <c r="B415" s="9"/>
      <c r="C415" s="9"/>
      <c r="D415" s="9"/>
      <c r="E415" s="217"/>
      <c r="F415" s="9"/>
      <c r="G415" s="119"/>
      <c r="H415" s="119"/>
      <c r="I415" s="119"/>
      <c r="J415" s="11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9"/>
      <c r="B416" s="9"/>
      <c r="C416" s="9"/>
      <c r="D416" s="9"/>
      <c r="E416" s="217"/>
      <c r="F416" s="9"/>
      <c r="G416" s="119"/>
      <c r="H416" s="119"/>
      <c r="I416" s="119"/>
      <c r="J416" s="11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9"/>
      <c r="B417" s="9"/>
      <c r="C417" s="9"/>
      <c r="D417" s="9"/>
      <c r="E417" s="217"/>
      <c r="F417" s="9"/>
      <c r="G417" s="119"/>
      <c r="H417" s="119"/>
      <c r="I417" s="119"/>
      <c r="J417" s="11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9"/>
      <c r="B418" s="9"/>
      <c r="C418" s="9"/>
      <c r="D418" s="9"/>
      <c r="E418" s="217"/>
      <c r="F418" s="9"/>
      <c r="G418" s="119"/>
      <c r="H418" s="119"/>
      <c r="I418" s="119"/>
      <c r="J418" s="11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9"/>
      <c r="B419" s="9"/>
      <c r="C419" s="9"/>
      <c r="D419" s="9"/>
      <c r="E419" s="217"/>
      <c r="F419" s="9"/>
      <c r="G419" s="119"/>
      <c r="H419" s="119"/>
      <c r="I419" s="119"/>
      <c r="J419" s="11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9"/>
      <c r="B420" s="9"/>
      <c r="C420" s="9"/>
      <c r="D420" s="9"/>
      <c r="E420" s="217"/>
      <c r="F420" s="9"/>
      <c r="G420" s="119"/>
      <c r="H420" s="119"/>
      <c r="I420" s="119"/>
      <c r="J420" s="11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9"/>
      <c r="B421" s="9"/>
      <c r="C421" s="9"/>
      <c r="D421" s="9"/>
      <c r="E421" s="217"/>
      <c r="F421" s="9"/>
      <c r="G421" s="119"/>
      <c r="H421" s="119"/>
      <c r="I421" s="119"/>
      <c r="J421" s="11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9"/>
      <c r="B422" s="9"/>
      <c r="C422" s="9"/>
      <c r="D422" s="9"/>
      <c r="E422" s="217"/>
      <c r="F422" s="9"/>
      <c r="G422" s="119"/>
      <c r="H422" s="119"/>
      <c r="I422" s="119"/>
      <c r="J422" s="11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9"/>
      <c r="B423" s="9"/>
      <c r="C423" s="9"/>
      <c r="D423" s="9"/>
      <c r="E423" s="217"/>
      <c r="F423" s="9"/>
      <c r="G423" s="119"/>
      <c r="H423" s="119"/>
      <c r="I423" s="119"/>
      <c r="J423" s="11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9"/>
      <c r="B424" s="9"/>
      <c r="C424" s="9"/>
      <c r="D424" s="9"/>
      <c r="E424" s="217"/>
      <c r="F424" s="9"/>
      <c r="G424" s="119"/>
      <c r="H424" s="119"/>
      <c r="I424" s="119"/>
      <c r="J424" s="11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9"/>
      <c r="B425" s="9"/>
      <c r="C425" s="9"/>
      <c r="D425" s="9"/>
      <c r="E425" s="217"/>
      <c r="F425" s="9"/>
      <c r="G425" s="119"/>
      <c r="H425" s="119"/>
      <c r="I425" s="119"/>
      <c r="J425" s="11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9"/>
      <c r="B426" s="9"/>
      <c r="C426" s="9"/>
      <c r="D426" s="9"/>
      <c r="E426" s="217"/>
      <c r="F426" s="9"/>
      <c r="G426" s="119"/>
      <c r="H426" s="119"/>
      <c r="I426" s="119"/>
      <c r="J426" s="11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9"/>
      <c r="B427" s="9"/>
      <c r="C427" s="9"/>
      <c r="D427" s="9"/>
      <c r="E427" s="217"/>
      <c r="F427" s="9"/>
      <c r="G427" s="119"/>
      <c r="H427" s="119"/>
      <c r="I427" s="119"/>
      <c r="J427" s="11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9"/>
      <c r="B428" s="9"/>
      <c r="C428" s="9"/>
      <c r="D428" s="9"/>
      <c r="E428" s="217"/>
      <c r="F428" s="9"/>
      <c r="G428" s="119"/>
      <c r="H428" s="119"/>
      <c r="I428" s="119"/>
      <c r="J428" s="11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9"/>
      <c r="B429" s="9"/>
      <c r="C429" s="9"/>
      <c r="D429" s="9"/>
      <c r="E429" s="217"/>
      <c r="F429" s="9"/>
      <c r="G429" s="119"/>
      <c r="H429" s="119"/>
      <c r="I429" s="119"/>
      <c r="J429" s="11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9"/>
      <c r="B430" s="9"/>
      <c r="C430" s="9"/>
      <c r="D430" s="9"/>
      <c r="E430" s="217"/>
      <c r="F430" s="9"/>
      <c r="G430" s="119"/>
      <c r="H430" s="119"/>
      <c r="I430" s="119"/>
      <c r="J430" s="11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9"/>
      <c r="B431" s="9"/>
      <c r="C431" s="9"/>
      <c r="D431" s="9"/>
      <c r="E431" s="217"/>
      <c r="F431" s="9"/>
      <c r="G431" s="119"/>
      <c r="H431" s="119"/>
      <c r="I431" s="119"/>
      <c r="J431" s="11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9"/>
      <c r="B432" s="9"/>
      <c r="C432" s="9"/>
      <c r="D432" s="9"/>
      <c r="E432" s="217"/>
      <c r="F432" s="9"/>
      <c r="G432" s="119"/>
      <c r="H432" s="119"/>
      <c r="I432" s="119"/>
      <c r="J432" s="11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9"/>
      <c r="B433" s="9"/>
      <c r="C433" s="9"/>
      <c r="D433" s="9"/>
      <c r="E433" s="217"/>
      <c r="F433" s="9"/>
      <c r="G433" s="119"/>
      <c r="H433" s="119"/>
      <c r="I433" s="119"/>
      <c r="J433" s="11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9"/>
      <c r="B434" s="9"/>
      <c r="C434" s="9"/>
      <c r="D434" s="9"/>
      <c r="E434" s="217"/>
      <c r="F434" s="9"/>
      <c r="G434" s="119"/>
      <c r="H434" s="119"/>
      <c r="I434" s="119"/>
      <c r="J434" s="11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9"/>
      <c r="B435" s="9"/>
      <c r="C435" s="9"/>
      <c r="D435" s="9"/>
      <c r="E435" s="217"/>
      <c r="F435" s="9"/>
      <c r="G435" s="119"/>
      <c r="H435" s="119"/>
      <c r="I435" s="119"/>
      <c r="J435" s="11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9"/>
      <c r="B436" s="9"/>
      <c r="C436" s="9"/>
      <c r="D436" s="9"/>
      <c r="E436" s="217"/>
      <c r="F436" s="9"/>
      <c r="G436" s="119"/>
      <c r="H436" s="119"/>
      <c r="I436" s="119"/>
      <c r="J436" s="11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9"/>
      <c r="B437" s="9"/>
      <c r="C437" s="9"/>
      <c r="D437" s="9"/>
      <c r="E437" s="217"/>
      <c r="F437" s="9"/>
      <c r="G437" s="119"/>
      <c r="H437" s="119"/>
      <c r="I437" s="119"/>
      <c r="J437" s="11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9"/>
      <c r="B438" s="9"/>
      <c r="C438" s="9"/>
      <c r="D438" s="9"/>
      <c r="E438" s="217"/>
      <c r="F438" s="9"/>
      <c r="G438" s="119"/>
      <c r="H438" s="119"/>
      <c r="I438" s="119"/>
      <c r="J438" s="11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9"/>
      <c r="B439" s="9"/>
      <c r="C439" s="9"/>
      <c r="D439" s="9"/>
      <c r="E439" s="217"/>
      <c r="F439" s="9"/>
      <c r="G439" s="119"/>
      <c r="H439" s="119"/>
      <c r="I439" s="119"/>
      <c r="J439" s="11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9"/>
      <c r="B440" s="9"/>
      <c r="C440" s="9"/>
      <c r="D440" s="9"/>
      <c r="E440" s="217"/>
      <c r="F440" s="9"/>
      <c r="G440" s="119"/>
      <c r="H440" s="119"/>
      <c r="I440" s="119"/>
      <c r="J440" s="11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9"/>
      <c r="B441" s="9"/>
      <c r="C441" s="9"/>
      <c r="D441" s="9"/>
      <c r="E441" s="217"/>
      <c r="F441" s="9"/>
      <c r="G441" s="119"/>
      <c r="H441" s="119"/>
      <c r="I441" s="119"/>
      <c r="J441" s="11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9"/>
      <c r="B442" s="9"/>
      <c r="C442" s="9"/>
      <c r="D442" s="9"/>
      <c r="E442" s="217"/>
      <c r="F442" s="9"/>
      <c r="G442" s="119"/>
      <c r="H442" s="119"/>
      <c r="I442" s="119"/>
      <c r="J442" s="11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9"/>
      <c r="B443" s="9"/>
      <c r="C443" s="9"/>
      <c r="D443" s="9"/>
      <c r="E443" s="217"/>
      <c r="F443" s="9"/>
      <c r="G443" s="119"/>
      <c r="H443" s="119"/>
      <c r="I443" s="119"/>
      <c r="J443" s="11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9"/>
      <c r="B444" s="9"/>
      <c r="C444" s="9"/>
      <c r="D444" s="9"/>
      <c r="E444" s="217"/>
      <c r="F444" s="9"/>
      <c r="G444" s="119"/>
      <c r="H444" s="119"/>
      <c r="I444" s="119"/>
      <c r="J444" s="11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9"/>
      <c r="B445" s="9"/>
      <c r="C445" s="9"/>
      <c r="D445" s="9"/>
      <c r="E445" s="217"/>
      <c r="F445" s="9"/>
      <c r="G445" s="119"/>
      <c r="H445" s="119"/>
      <c r="I445" s="119"/>
      <c r="J445" s="11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9"/>
      <c r="B446" s="9"/>
      <c r="C446" s="9"/>
      <c r="D446" s="9"/>
      <c r="E446" s="217"/>
      <c r="F446" s="9"/>
      <c r="G446" s="119"/>
      <c r="H446" s="119"/>
      <c r="I446" s="119"/>
      <c r="J446" s="11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9"/>
      <c r="B447" s="9"/>
      <c r="C447" s="9"/>
      <c r="D447" s="9"/>
      <c r="E447" s="217"/>
      <c r="F447" s="9"/>
      <c r="G447" s="119"/>
      <c r="H447" s="119"/>
      <c r="I447" s="119"/>
      <c r="J447" s="11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9"/>
      <c r="B448" s="9"/>
      <c r="C448" s="9"/>
      <c r="D448" s="9"/>
      <c r="E448" s="217"/>
      <c r="F448" s="9"/>
      <c r="G448" s="119"/>
      <c r="H448" s="119"/>
      <c r="I448" s="119"/>
      <c r="J448" s="11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9"/>
      <c r="B449" s="9"/>
      <c r="C449" s="9"/>
      <c r="D449" s="9"/>
      <c r="E449" s="217"/>
      <c r="F449" s="9"/>
      <c r="G449" s="119"/>
      <c r="H449" s="119"/>
      <c r="I449" s="119"/>
      <c r="J449" s="11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9"/>
      <c r="B450" s="9"/>
      <c r="C450" s="9"/>
      <c r="D450" s="9"/>
      <c r="E450" s="217"/>
      <c r="F450" s="9"/>
      <c r="G450" s="119"/>
      <c r="H450" s="119"/>
      <c r="I450" s="119"/>
      <c r="J450" s="11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9"/>
      <c r="B451" s="9"/>
      <c r="C451" s="9"/>
      <c r="D451" s="9"/>
      <c r="E451" s="217"/>
      <c r="F451" s="9"/>
      <c r="G451" s="119"/>
      <c r="H451" s="119"/>
      <c r="I451" s="119"/>
      <c r="J451" s="11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9"/>
      <c r="B452" s="9"/>
      <c r="C452" s="9"/>
      <c r="D452" s="9"/>
      <c r="E452" s="217"/>
      <c r="F452" s="9"/>
      <c r="G452" s="119"/>
      <c r="H452" s="119"/>
      <c r="I452" s="119"/>
      <c r="J452" s="11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9"/>
      <c r="B453" s="9"/>
      <c r="C453" s="9"/>
      <c r="D453" s="9"/>
      <c r="E453" s="217"/>
      <c r="F453" s="9"/>
      <c r="G453" s="119"/>
      <c r="H453" s="119"/>
      <c r="I453" s="119"/>
      <c r="J453" s="11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9"/>
      <c r="B454" s="9"/>
      <c r="C454" s="9"/>
      <c r="D454" s="9"/>
      <c r="E454" s="217"/>
      <c r="F454" s="9"/>
      <c r="G454" s="119"/>
      <c r="H454" s="119"/>
      <c r="I454" s="119"/>
      <c r="J454" s="11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9"/>
      <c r="B455" s="9"/>
      <c r="C455" s="9"/>
      <c r="D455" s="9"/>
      <c r="E455" s="217"/>
      <c r="F455" s="9"/>
      <c r="G455" s="119"/>
      <c r="H455" s="119"/>
      <c r="I455" s="119"/>
      <c r="J455" s="11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9"/>
      <c r="B456" s="9"/>
      <c r="C456" s="9"/>
      <c r="D456" s="9"/>
      <c r="E456" s="217"/>
      <c r="F456" s="9"/>
      <c r="G456" s="119"/>
      <c r="H456" s="119"/>
      <c r="I456" s="119"/>
      <c r="J456" s="11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9"/>
      <c r="B457" s="9"/>
      <c r="C457" s="9"/>
      <c r="D457" s="9"/>
      <c r="E457" s="217"/>
      <c r="F457" s="9"/>
      <c r="G457" s="119"/>
      <c r="H457" s="119"/>
      <c r="I457" s="119"/>
      <c r="J457" s="11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9"/>
      <c r="B458" s="9"/>
      <c r="C458" s="9"/>
      <c r="D458" s="9"/>
      <c r="E458" s="217"/>
      <c r="F458" s="9"/>
      <c r="G458" s="119"/>
      <c r="H458" s="119"/>
      <c r="I458" s="119"/>
      <c r="J458" s="11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9"/>
      <c r="B459" s="9"/>
      <c r="C459" s="9"/>
      <c r="D459" s="9"/>
      <c r="E459" s="217"/>
      <c r="F459" s="9"/>
      <c r="G459" s="119"/>
      <c r="H459" s="119"/>
      <c r="I459" s="119"/>
      <c r="J459" s="11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9"/>
      <c r="B460" s="9"/>
      <c r="C460" s="9"/>
      <c r="D460" s="9"/>
      <c r="E460" s="217"/>
      <c r="F460" s="9"/>
      <c r="G460" s="119"/>
      <c r="H460" s="119"/>
      <c r="I460" s="119"/>
      <c r="J460" s="11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9"/>
      <c r="B461" s="9"/>
      <c r="C461" s="9"/>
      <c r="D461" s="9"/>
      <c r="E461" s="217"/>
      <c r="F461" s="9"/>
      <c r="G461" s="119"/>
      <c r="H461" s="119"/>
      <c r="I461" s="119"/>
      <c r="J461" s="11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9"/>
      <c r="B462" s="9"/>
      <c r="C462" s="9"/>
      <c r="D462" s="9"/>
      <c r="E462" s="217"/>
      <c r="F462" s="9"/>
      <c r="G462" s="119"/>
      <c r="H462" s="119"/>
      <c r="I462" s="119"/>
      <c r="J462" s="11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9"/>
      <c r="B463" s="9"/>
      <c r="C463" s="9"/>
      <c r="D463" s="9"/>
      <c r="E463" s="217"/>
      <c r="F463" s="9"/>
      <c r="G463" s="119"/>
      <c r="H463" s="119"/>
      <c r="I463" s="119"/>
      <c r="J463" s="11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9"/>
      <c r="B464" s="9"/>
      <c r="C464" s="9"/>
      <c r="D464" s="9"/>
      <c r="E464" s="217"/>
      <c r="F464" s="9"/>
      <c r="G464" s="119"/>
      <c r="H464" s="119"/>
      <c r="I464" s="119"/>
      <c r="J464" s="11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9"/>
      <c r="B465" s="9"/>
      <c r="C465" s="9"/>
      <c r="D465" s="9"/>
      <c r="E465" s="217"/>
      <c r="F465" s="9"/>
      <c r="G465" s="119"/>
      <c r="H465" s="119"/>
      <c r="I465" s="119"/>
      <c r="J465" s="11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9"/>
      <c r="B466" s="9"/>
      <c r="C466" s="9"/>
      <c r="D466" s="9"/>
      <c r="E466" s="217"/>
      <c r="F466" s="9"/>
      <c r="G466" s="119"/>
      <c r="H466" s="119"/>
      <c r="I466" s="119"/>
      <c r="J466" s="11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9"/>
      <c r="B467" s="9"/>
      <c r="C467" s="9"/>
      <c r="D467" s="9"/>
      <c r="E467" s="217"/>
      <c r="F467" s="9"/>
      <c r="G467" s="119"/>
      <c r="H467" s="119"/>
      <c r="I467" s="119"/>
      <c r="J467" s="11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9"/>
      <c r="B468" s="9"/>
      <c r="C468" s="9"/>
      <c r="D468" s="9"/>
      <c r="E468" s="217"/>
      <c r="F468" s="9"/>
      <c r="G468" s="119"/>
      <c r="H468" s="119"/>
      <c r="I468" s="119"/>
      <c r="J468" s="11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9"/>
      <c r="B469" s="9"/>
      <c r="C469" s="9"/>
      <c r="D469" s="9"/>
      <c r="E469" s="217"/>
      <c r="F469" s="9"/>
      <c r="G469" s="119"/>
      <c r="H469" s="119"/>
      <c r="I469" s="119"/>
      <c r="J469" s="11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9"/>
      <c r="B470" s="9"/>
      <c r="C470" s="9"/>
      <c r="D470" s="9"/>
      <c r="E470" s="217"/>
      <c r="F470" s="9"/>
      <c r="G470" s="119"/>
      <c r="H470" s="119"/>
      <c r="I470" s="119"/>
      <c r="J470" s="11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9"/>
      <c r="B471" s="9"/>
      <c r="C471" s="9"/>
      <c r="D471" s="9"/>
      <c r="E471" s="217"/>
      <c r="F471" s="9"/>
      <c r="G471" s="119"/>
      <c r="H471" s="119"/>
      <c r="I471" s="119"/>
      <c r="J471" s="11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9"/>
      <c r="B472" s="9"/>
      <c r="C472" s="9"/>
      <c r="D472" s="9"/>
      <c r="E472" s="217"/>
      <c r="F472" s="9"/>
      <c r="G472" s="119"/>
      <c r="H472" s="119"/>
      <c r="I472" s="119"/>
      <c r="J472" s="11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9"/>
      <c r="B473" s="9"/>
      <c r="C473" s="9"/>
      <c r="D473" s="9"/>
      <c r="E473" s="217"/>
      <c r="F473" s="9"/>
      <c r="G473" s="119"/>
      <c r="H473" s="119"/>
      <c r="I473" s="119"/>
      <c r="J473" s="11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9"/>
      <c r="B474" s="9"/>
      <c r="C474" s="9"/>
      <c r="D474" s="9"/>
      <c r="E474" s="217"/>
      <c r="F474" s="9"/>
      <c r="G474" s="119"/>
      <c r="H474" s="119"/>
      <c r="I474" s="119"/>
      <c r="J474" s="11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9"/>
      <c r="B475" s="9"/>
      <c r="C475" s="9"/>
      <c r="D475" s="9"/>
      <c r="E475" s="217"/>
      <c r="F475" s="9"/>
      <c r="G475" s="119"/>
      <c r="H475" s="119"/>
      <c r="I475" s="119"/>
      <c r="J475" s="11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9"/>
      <c r="B476" s="9"/>
      <c r="C476" s="9"/>
      <c r="D476" s="9"/>
      <c r="E476" s="217"/>
      <c r="F476" s="9"/>
      <c r="G476" s="119"/>
      <c r="H476" s="119"/>
      <c r="I476" s="119"/>
      <c r="J476" s="11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9"/>
      <c r="B477" s="9"/>
      <c r="C477" s="9"/>
      <c r="D477" s="9"/>
      <c r="E477" s="217"/>
      <c r="F477" s="9"/>
      <c r="G477" s="119"/>
      <c r="H477" s="119"/>
      <c r="I477" s="119"/>
      <c r="J477" s="11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9"/>
      <c r="B478" s="9"/>
      <c r="C478" s="9"/>
      <c r="D478" s="9"/>
      <c r="E478" s="217"/>
      <c r="F478" s="9"/>
      <c r="G478" s="119"/>
      <c r="H478" s="119"/>
      <c r="I478" s="119"/>
      <c r="J478" s="11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9"/>
      <c r="B479" s="9"/>
      <c r="C479" s="9"/>
      <c r="D479" s="9"/>
      <c r="E479" s="217"/>
      <c r="F479" s="9"/>
      <c r="G479" s="119"/>
      <c r="H479" s="119"/>
      <c r="I479" s="119"/>
      <c r="J479" s="11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9"/>
      <c r="B480" s="9"/>
      <c r="C480" s="9"/>
      <c r="D480" s="9"/>
      <c r="E480" s="217"/>
      <c r="F480" s="9"/>
      <c r="G480" s="119"/>
      <c r="H480" s="119"/>
      <c r="I480" s="119"/>
      <c r="J480" s="11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9"/>
      <c r="B481" s="9"/>
      <c r="C481" s="9"/>
      <c r="D481" s="9"/>
      <c r="E481" s="217"/>
      <c r="F481" s="9"/>
      <c r="G481" s="119"/>
      <c r="H481" s="119"/>
      <c r="I481" s="119"/>
      <c r="J481" s="11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9"/>
      <c r="B482" s="9"/>
      <c r="C482" s="9"/>
      <c r="D482" s="9"/>
      <c r="E482" s="217"/>
      <c r="F482" s="9"/>
      <c r="G482" s="119"/>
      <c r="H482" s="119"/>
      <c r="I482" s="119"/>
      <c r="J482" s="11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9"/>
      <c r="B483" s="9"/>
      <c r="C483" s="9"/>
      <c r="D483" s="9"/>
      <c r="E483" s="217"/>
      <c r="F483" s="9"/>
      <c r="G483" s="119"/>
      <c r="H483" s="119"/>
      <c r="I483" s="119"/>
      <c r="J483" s="11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9"/>
      <c r="B484" s="9"/>
      <c r="C484" s="9"/>
      <c r="D484" s="9"/>
      <c r="E484" s="217"/>
      <c r="F484" s="9"/>
      <c r="G484" s="119"/>
      <c r="H484" s="119"/>
      <c r="I484" s="119"/>
      <c r="J484" s="11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9"/>
      <c r="B485" s="9"/>
      <c r="C485" s="9"/>
      <c r="D485" s="9"/>
      <c r="E485" s="217"/>
      <c r="F485" s="9"/>
      <c r="G485" s="119"/>
      <c r="H485" s="119"/>
      <c r="I485" s="119"/>
      <c r="J485" s="11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9"/>
      <c r="B486" s="9"/>
      <c r="C486" s="9"/>
      <c r="D486" s="9"/>
      <c r="E486" s="217"/>
      <c r="F486" s="9"/>
      <c r="G486" s="119"/>
      <c r="H486" s="119"/>
      <c r="I486" s="119"/>
      <c r="J486" s="11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9"/>
      <c r="B487" s="9"/>
      <c r="C487" s="9"/>
      <c r="D487" s="9"/>
      <c r="E487" s="217"/>
      <c r="F487" s="9"/>
      <c r="G487" s="119"/>
      <c r="H487" s="119"/>
      <c r="I487" s="119"/>
      <c r="J487" s="11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9"/>
      <c r="B488" s="9"/>
      <c r="C488" s="9"/>
      <c r="D488" s="9"/>
      <c r="E488" s="217"/>
      <c r="F488" s="9"/>
      <c r="G488" s="119"/>
      <c r="H488" s="119"/>
      <c r="I488" s="119"/>
      <c r="J488" s="11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9"/>
      <c r="B489" s="9"/>
      <c r="C489" s="9"/>
      <c r="D489" s="9"/>
      <c r="E489" s="217"/>
      <c r="F489" s="9"/>
      <c r="G489" s="119"/>
      <c r="H489" s="119"/>
      <c r="I489" s="119"/>
      <c r="J489" s="11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9"/>
      <c r="B490" s="9"/>
      <c r="C490" s="9"/>
      <c r="D490" s="9"/>
      <c r="E490" s="217"/>
      <c r="F490" s="9"/>
      <c r="G490" s="119"/>
      <c r="H490" s="119"/>
      <c r="I490" s="119"/>
      <c r="J490" s="11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9"/>
      <c r="B491" s="9"/>
      <c r="C491" s="9"/>
      <c r="D491" s="9"/>
      <c r="E491" s="217"/>
      <c r="F491" s="9"/>
      <c r="G491" s="119"/>
      <c r="H491" s="119"/>
      <c r="I491" s="119"/>
      <c r="J491" s="11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9"/>
      <c r="C492" s="9"/>
      <c r="D492" s="9"/>
      <c r="E492" s="217"/>
      <c r="F492" s="9"/>
      <c r="G492" s="119"/>
      <c r="H492" s="119"/>
      <c r="I492" s="119"/>
      <c r="J492" s="11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9"/>
      <c r="C493" s="9"/>
      <c r="D493" s="9"/>
      <c r="E493" s="217"/>
      <c r="F493" s="9"/>
      <c r="G493" s="119"/>
      <c r="H493" s="119"/>
      <c r="I493" s="119"/>
      <c r="J493" s="11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9"/>
      <c r="C494" s="9"/>
      <c r="D494" s="9"/>
      <c r="E494" s="217"/>
      <c r="F494" s="9"/>
      <c r="G494" s="119"/>
      <c r="H494" s="119"/>
      <c r="I494" s="119"/>
      <c r="J494" s="11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9"/>
      <c r="C495" s="9"/>
      <c r="D495" s="9"/>
      <c r="E495" s="217"/>
      <c r="F495" s="9"/>
      <c r="G495" s="119"/>
      <c r="H495" s="119"/>
      <c r="I495" s="119"/>
      <c r="J495" s="11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9"/>
      <c r="C496" s="9"/>
      <c r="D496" s="9"/>
      <c r="E496" s="217"/>
      <c r="F496" s="9"/>
      <c r="G496" s="119"/>
      <c r="H496" s="119"/>
      <c r="I496" s="119"/>
      <c r="J496" s="11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9"/>
      <c r="C497" s="9"/>
      <c r="D497" s="9"/>
      <c r="E497" s="217"/>
      <c r="F497" s="9"/>
      <c r="G497" s="119"/>
      <c r="H497" s="119"/>
      <c r="I497" s="119"/>
      <c r="J497" s="11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9"/>
      <c r="C498" s="9"/>
      <c r="D498" s="9"/>
      <c r="E498" s="217"/>
      <c r="F498" s="9"/>
      <c r="G498" s="119"/>
      <c r="H498" s="119"/>
      <c r="I498" s="119"/>
      <c r="J498" s="11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9"/>
      <c r="C499" s="9"/>
      <c r="D499" s="9"/>
      <c r="E499" s="217"/>
      <c r="F499" s="9"/>
      <c r="G499" s="119"/>
      <c r="H499" s="119"/>
      <c r="I499" s="119"/>
      <c r="J499" s="11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9"/>
      <c r="C500" s="9"/>
      <c r="D500" s="9"/>
      <c r="E500" s="217"/>
      <c r="F500" s="9"/>
      <c r="G500" s="119"/>
      <c r="H500" s="119"/>
      <c r="I500" s="119"/>
      <c r="J500" s="11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9"/>
      <c r="C501" s="9"/>
      <c r="D501" s="9"/>
      <c r="E501" s="217"/>
      <c r="F501" s="9"/>
      <c r="G501" s="119"/>
      <c r="H501" s="119"/>
      <c r="I501" s="119"/>
      <c r="J501" s="11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9"/>
      <c r="C502" s="9"/>
      <c r="D502" s="9"/>
      <c r="E502" s="217"/>
      <c r="F502" s="9"/>
      <c r="G502" s="119"/>
      <c r="H502" s="119"/>
      <c r="I502" s="119"/>
      <c r="J502" s="11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9"/>
      <c r="C503" s="9"/>
      <c r="D503" s="9"/>
      <c r="E503" s="217"/>
      <c r="F503" s="9"/>
      <c r="G503" s="119"/>
      <c r="H503" s="119"/>
      <c r="I503" s="119"/>
      <c r="J503" s="11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9"/>
      <c r="C504" s="9"/>
      <c r="D504" s="9"/>
      <c r="E504" s="217"/>
      <c r="F504" s="9"/>
      <c r="G504" s="119"/>
      <c r="H504" s="119"/>
      <c r="I504" s="119"/>
      <c r="J504" s="11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9"/>
      <c r="C505" s="9"/>
      <c r="D505" s="9"/>
      <c r="E505" s="217"/>
      <c r="F505" s="9"/>
      <c r="G505" s="119"/>
      <c r="H505" s="119"/>
      <c r="I505" s="119"/>
      <c r="J505" s="11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9"/>
      <c r="C506" s="9"/>
      <c r="D506" s="9"/>
      <c r="E506" s="217"/>
      <c r="F506" s="9"/>
      <c r="G506" s="119"/>
      <c r="H506" s="119"/>
      <c r="I506" s="119"/>
      <c r="J506" s="11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9"/>
      <c r="C507" s="9"/>
      <c r="D507" s="9"/>
      <c r="E507" s="217"/>
      <c r="F507" s="9"/>
      <c r="G507" s="119"/>
      <c r="H507" s="119"/>
      <c r="I507" s="119"/>
      <c r="J507" s="11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9"/>
      <c r="C508" s="9"/>
      <c r="D508" s="9"/>
      <c r="E508" s="217"/>
      <c r="F508" s="9"/>
      <c r="G508" s="119"/>
      <c r="H508" s="119"/>
      <c r="I508" s="119"/>
      <c r="J508" s="11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9"/>
      <c r="C509" s="9"/>
      <c r="D509" s="9"/>
      <c r="E509" s="217"/>
      <c r="F509" s="9"/>
      <c r="G509" s="119"/>
      <c r="H509" s="119"/>
      <c r="I509" s="119"/>
      <c r="J509" s="11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9"/>
      <c r="C510" s="9"/>
      <c r="D510" s="9"/>
      <c r="E510" s="217"/>
      <c r="F510" s="9"/>
      <c r="G510" s="119"/>
      <c r="H510" s="119"/>
      <c r="I510" s="119"/>
      <c r="J510" s="11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9"/>
      <c r="C511" s="9"/>
      <c r="D511" s="9"/>
      <c r="E511" s="217"/>
      <c r="F511" s="9"/>
      <c r="G511" s="119"/>
      <c r="H511" s="119"/>
      <c r="I511" s="119"/>
      <c r="J511" s="11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9"/>
      <c r="C512" s="9"/>
      <c r="D512" s="9"/>
      <c r="E512" s="217"/>
      <c r="F512" s="9"/>
      <c r="G512" s="119"/>
      <c r="H512" s="119"/>
      <c r="I512" s="119"/>
      <c r="J512" s="11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9"/>
      <c r="C513" s="9"/>
      <c r="D513" s="9"/>
      <c r="E513" s="217"/>
      <c r="F513" s="9"/>
      <c r="G513" s="119"/>
      <c r="H513" s="119"/>
      <c r="I513" s="119"/>
      <c r="J513" s="11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9"/>
      <c r="C514" s="9"/>
      <c r="D514" s="9"/>
      <c r="E514" s="217"/>
      <c r="F514" s="9"/>
      <c r="G514" s="119"/>
      <c r="H514" s="119"/>
      <c r="I514" s="119"/>
      <c r="J514" s="11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9"/>
      <c r="C515" s="9"/>
      <c r="D515" s="9"/>
      <c r="E515" s="217"/>
      <c r="F515" s="9"/>
      <c r="G515" s="119"/>
      <c r="H515" s="119"/>
      <c r="I515" s="119"/>
      <c r="J515" s="11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9"/>
      <c r="C516" s="9"/>
      <c r="D516" s="9"/>
      <c r="E516" s="217"/>
      <c r="F516" s="9"/>
      <c r="G516" s="119"/>
      <c r="H516" s="119"/>
      <c r="I516" s="119"/>
      <c r="J516" s="11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9"/>
      <c r="C517" s="9"/>
      <c r="D517" s="9"/>
      <c r="E517" s="217"/>
      <c r="F517" s="9"/>
      <c r="G517" s="119"/>
      <c r="H517" s="119"/>
      <c r="I517" s="119"/>
      <c r="J517" s="11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9"/>
      <c r="C518" s="9"/>
      <c r="D518" s="9"/>
      <c r="E518" s="217"/>
      <c r="F518" s="9"/>
      <c r="G518" s="119"/>
      <c r="H518" s="119"/>
      <c r="I518" s="119"/>
      <c r="J518" s="11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9"/>
      <c r="C519" s="9"/>
      <c r="D519" s="9"/>
      <c r="E519" s="217"/>
      <c r="F519" s="9"/>
      <c r="G519" s="119"/>
      <c r="H519" s="119"/>
      <c r="I519" s="119"/>
      <c r="J519" s="11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9"/>
      <c r="C520" s="9"/>
      <c r="D520" s="9"/>
      <c r="E520" s="217"/>
      <c r="F520" s="9"/>
      <c r="G520" s="119"/>
      <c r="H520" s="119"/>
      <c r="I520" s="119"/>
      <c r="J520" s="11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9"/>
      <c r="C521" s="9"/>
      <c r="D521" s="9"/>
      <c r="E521" s="217"/>
      <c r="F521" s="9"/>
      <c r="G521" s="119"/>
      <c r="H521" s="119"/>
      <c r="I521" s="119"/>
      <c r="J521" s="11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9"/>
      <c r="C522" s="9"/>
      <c r="D522" s="9"/>
      <c r="E522" s="217"/>
      <c r="F522" s="9"/>
      <c r="G522" s="119"/>
      <c r="H522" s="119"/>
      <c r="I522" s="119"/>
      <c r="J522" s="11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9"/>
      <c r="C523" s="9"/>
      <c r="D523" s="9"/>
      <c r="E523" s="217"/>
      <c r="F523" s="9"/>
      <c r="G523" s="119"/>
      <c r="H523" s="119"/>
      <c r="I523" s="119"/>
      <c r="J523" s="11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9"/>
      <c r="C524" s="9"/>
      <c r="D524" s="9"/>
      <c r="E524" s="217"/>
      <c r="F524" s="9"/>
      <c r="G524" s="119"/>
      <c r="H524" s="119"/>
      <c r="I524" s="119"/>
      <c r="J524" s="11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9"/>
      <c r="C525" s="9"/>
      <c r="D525" s="9"/>
      <c r="E525" s="217"/>
      <c r="F525" s="9"/>
      <c r="G525" s="119"/>
      <c r="H525" s="119"/>
      <c r="I525" s="119"/>
      <c r="J525" s="11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9"/>
      <c r="C526" s="9"/>
      <c r="D526" s="9"/>
      <c r="E526" s="217"/>
      <c r="F526" s="9"/>
      <c r="G526" s="119"/>
      <c r="H526" s="119"/>
      <c r="I526" s="119"/>
      <c r="J526" s="11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9"/>
      <c r="C527" s="9"/>
      <c r="D527" s="9"/>
      <c r="E527" s="217"/>
      <c r="F527" s="9"/>
      <c r="G527" s="119"/>
      <c r="H527" s="119"/>
      <c r="I527" s="119"/>
      <c r="J527" s="11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9"/>
      <c r="C528" s="9"/>
      <c r="D528" s="9"/>
      <c r="E528" s="217"/>
      <c r="F528" s="9"/>
      <c r="G528" s="119"/>
      <c r="H528" s="119"/>
      <c r="I528" s="119"/>
      <c r="J528" s="11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9"/>
      <c r="C529" s="9"/>
      <c r="D529" s="9"/>
      <c r="E529" s="217"/>
      <c r="F529" s="9"/>
      <c r="G529" s="119"/>
      <c r="H529" s="119"/>
      <c r="I529" s="119"/>
      <c r="J529" s="11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9"/>
      <c r="C530" s="9"/>
      <c r="D530" s="9"/>
      <c r="E530" s="217"/>
      <c r="F530" s="9"/>
      <c r="G530" s="119"/>
      <c r="H530" s="119"/>
      <c r="I530" s="119"/>
      <c r="J530" s="11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9"/>
      <c r="C531" s="9"/>
      <c r="D531" s="9"/>
      <c r="E531" s="217"/>
      <c r="F531" s="9"/>
      <c r="G531" s="119"/>
      <c r="H531" s="119"/>
      <c r="I531" s="119"/>
      <c r="J531" s="11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9"/>
      <c r="C532" s="9"/>
      <c r="D532" s="9"/>
      <c r="E532" s="217"/>
      <c r="F532" s="9"/>
      <c r="G532" s="119"/>
      <c r="H532" s="119"/>
      <c r="I532" s="119"/>
      <c r="J532" s="11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9"/>
      <c r="C533" s="9"/>
      <c r="D533" s="9"/>
      <c r="E533" s="217"/>
      <c r="F533" s="9"/>
      <c r="G533" s="119"/>
      <c r="H533" s="119"/>
      <c r="I533" s="119"/>
      <c r="J533" s="11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9"/>
      <c r="C534" s="9"/>
      <c r="D534" s="9"/>
      <c r="E534" s="217"/>
      <c r="F534" s="9"/>
      <c r="G534" s="119"/>
      <c r="H534" s="119"/>
      <c r="I534" s="119"/>
      <c r="J534" s="11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9"/>
      <c r="C535" s="9"/>
      <c r="D535" s="9"/>
      <c r="E535" s="217"/>
      <c r="F535" s="9"/>
      <c r="G535" s="119"/>
      <c r="H535" s="119"/>
      <c r="I535" s="119"/>
      <c r="J535" s="11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9"/>
      <c r="C536" s="9"/>
      <c r="D536" s="9"/>
      <c r="E536" s="217"/>
      <c r="F536" s="9"/>
      <c r="G536" s="119"/>
      <c r="H536" s="119"/>
      <c r="I536" s="119"/>
      <c r="J536" s="11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9"/>
      <c r="C537" s="9"/>
      <c r="D537" s="9"/>
      <c r="E537" s="217"/>
      <c r="F537" s="9"/>
      <c r="G537" s="119"/>
      <c r="H537" s="119"/>
      <c r="I537" s="119"/>
      <c r="J537" s="11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9"/>
      <c r="C538" s="9"/>
      <c r="D538" s="9"/>
      <c r="E538" s="217"/>
      <c r="F538" s="9"/>
      <c r="G538" s="119"/>
      <c r="H538" s="119"/>
      <c r="I538" s="119"/>
      <c r="J538" s="11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9"/>
      <c r="C539" s="9"/>
      <c r="D539" s="9"/>
      <c r="E539" s="217"/>
      <c r="F539" s="9"/>
      <c r="G539" s="119"/>
      <c r="H539" s="119"/>
      <c r="I539" s="119"/>
      <c r="J539" s="11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9"/>
      <c r="C540" s="9"/>
      <c r="D540" s="9"/>
      <c r="E540" s="217"/>
      <c r="F540" s="9"/>
      <c r="G540" s="119"/>
      <c r="H540" s="119"/>
      <c r="I540" s="119"/>
      <c r="J540" s="11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9"/>
      <c r="C541" s="9"/>
      <c r="D541" s="9"/>
      <c r="E541" s="217"/>
      <c r="F541" s="9"/>
      <c r="G541" s="119"/>
      <c r="H541" s="119"/>
      <c r="I541" s="119"/>
      <c r="J541" s="11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9"/>
      <c r="C542" s="9"/>
      <c r="D542" s="9"/>
      <c r="E542" s="217"/>
      <c r="F542" s="9"/>
      <c r="G542" s="119"/>
      <c r="H542" s="119"/>
      <c r="I542" s="119"/>
      <c r="J542" s="11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9"/>
      <c r="C543" s="9"/>
      <c r="D543" s="9"/>
      <c r="E543" s="217"/>
      <c r="F543" s="9"/>
      <c r="G543" s="119"/>
      <c r="H543" s="119"/>
      <c r="I543" s="119"/>
      <c r="J543" s="11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9"/>
      <c r="C544" s="9"/>
      <c r="D544" s="9"/>
      <c r="E544" s="217"/>
      <c r="F544" s="9"/>
      <c r="G544" s="119"/>
      <c r="H544" s="119"/>
      <c r="I544" s="119"/>
      <c r="J544" s="11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9"/>
      <c r="C545" s="9"/>
      <c r="D545" s="9"/>
      <c r="E545" s="217"/>
      <c r="F545" s="9"/>
      <c r="G545" s="119"/>
      <c r="H545" s="119"/>
      <c r="I545" s="119"/>
      <c r="J545" s="11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9"/>
      <c r="C546" s="9"/>
      <c r="D546" s="9"/>
      <c r="E546" s="217"/>
      <c r="F546" s="9"/>
      <c r="G546" s="119"/>
      <c r="H546" s="119"/>
      <c r="I546" s="119"/>
      <c r="J546" s="11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9"/>
      <c r="C547" s="9"/>
      <c r="D547" s="9"/>
      <c r="E547" s="217"/>
      <c r="F547" s="9"/>
      <c r="G547" s="119"/>
      <c r="H547" s="119"/>
      <c r="I547" s="119"/>
      <c r="J547" s="11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9"/>
      <c r="C548" s="9"/>
      <c r="D548" s="9"/>
      <c r="E548" s="217"/>
      <c r="F548" s="9"/>
      <c r="G548" s="119"/>
      <c r="H548" s="119"/>
      <c r="I548" s="119"/>
      <c r="J548" s="11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9"/>
      <c r="C549" s="9"/>
      <c r="D549" s="9"/>
      <c r="E549" s="217"/>
      <c r="F549" s="9"/>
      <c r="G549" s="119"/>
      <c r="H549" s="119"/>
      <c r="I549" s="119"/>
      <c r="J549" s="11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9"/>
      <c r="C550" s="9"/>
      <c r="D550" s="9"/>
      <c r="E550" s="217"/>
      <c r="F550" s="9"/>
      <c r="G550" s="119"/>
      <c r="H550" s="119"/>
      <c r="I550" s="119"/>
      <c r="J550" s="11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9"/>
      <c r="C551" s="9"/>
      <c r="D551" s="9"/>
      <c r="E551" s="217"/>
      <c r="F551" s="9"/>
      <c r="G551" s="119"/>
      <c r="H551" s="119"/>
      <c r="I551" s="119"/>
      <c r="J551" s="11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9"/>
      <c r="C552" s="9"/>
      <c r="D552" s="9"/>
      <c r="E552" s="217"/>
      <c r="F552" s="9"/>
      <c r="G552" s="119"/>
      <c r="H552" s="119"/>
      <c r="I552" s="119"/>
      <c r="J552" s="11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9"/>
      <c r="C553" s="9"/>
      <c r="D553" s="9"/>
      <c r="E553" s="217"/>
      <c r="F553" s="9"/>
      <c r="G553" s="119"/>
      <c r="H553" s="119"/>
      <c r="I553" s="119"/>
      <c r="J553" s="11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9"/>
      <c r="C554" s="9"/>
      <c r="D554" s="9"/>
      <c r="E554" s="217"/>
      <c r="F554" s="9"/>
      <c r="G554" s="119"/>
      <c r="H554" s="119"/>
      <c r="I554" s="119"/>
      <c r="J554" s="11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9"/>
      <c r="C555" s="9"/>
      <c r="D555" s="9"/>
      <c r="E555" s="217"/>
      <c r="F555" s="9"/>
      <c r="G555" s="119"/>
      <c r="H555" s="119"/>
      <c r="I555" s="119"/>
      <c r="J555" s="11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9"/>
      <c r="C556" s="9"/>
      <c r="D556" s="9"/>
      <c r="E556" s="217"/>
      <c r="F556" s="9"/>
      <c r="G556" s="119"/>
      <c r="H556" s="119"/>
      <c r="I556" s="119"/>
      <c r="J556" s="11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9"/>
      <c r="C557" s="9"/>
      <c r="D557" s="9"/>
      <c r="E557" s="217"/>
      <c r="F557" s="9"/>
      <c r="G557" s="119"/>
      <c r="H557" s="119"/>
      <c r="I557" s="119"/>
      <c r="J557" s="11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9"/>
      <c r="C558" s="9"/>
      <c r="D558" s="9"/>
      <c r="E558" s="217"/>
      <c r="F558" s="9"/>
      <c r="G558" s="119"/>
      <c r="H558" s="119"/>
      <c r="I558" s="119"/>
      <c r="J558" s="11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9"/>
      <c r="C559" s="9"/>
      <c r="D559" s="9"/>
      <c r="E559" s="217"/>
      <c r="F559" s="9"/>
      <c r="G559" s="119"/>
      <c r="H559" s="119"/>
      <c r="I559" s="119"/>
      <c r="J559" s="11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9"/>
      <c r="C560" s="9"/>
      <c r="D560" s="9"/>
      <c r="E560" s="217"/>
      <c r="F560" s="9"/>
      <c r="G560" s="119"/>
      <c r="H560" s="119"/>
      <c r="I560" s="119"/>
      <c r="J560" s="11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9"/>
      <c r="C561" s="9"/>
      <c r="D561" s="9"/>
      <c r="E561" s="217"/>
      <c r="F561" s="9"/>
      <c r="G561" s="119"/>
      <c r="H561" s="119"/>
      <c r="I561" s="119"/>
      <c r="J561" s="11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9"/>
      <c r="C562" s="9"/>
      <c r="D562" s="9"/>
      <c r="E562" s="217"/>
      <c r="F562" s="9"/>
      <c r="G562" s="119"/>
      <c r="H562" s="119"/>
      <c r="I562" s="119"/>
      <c r="J562" s="11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9"/>
      <c r="C563" s="9"/>
      <c r="D563" s="9"/>
      <c r="E563" s="217"/>
      <c r="F563" s="9"/>
      <c r="G563" s="119"/>
      <c r="H563" s="119"/>
      <c r="I563" s="119"/>
      <c r="J563" s="11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9"/>
      <c r="C564" s="9"/>
      <c r="D564" s="9"/>
      <c r="E564" s="217"/>
      <c r="F564" s="9"/>
      <c r="G564" s="119"/>
      <c r="H564" s="119"/>
      <c r="I564" s="119"/>
      <c r="J564" s="11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9"/>
      <c r="C565" s="9"/>
      <c r="D565" s="9"/>
      <c r="E565" s="217"/>
      <c r="F565" s="9"/>
      <c r="G565" s="119"/>
      <c r="H565" s="119"/>
      <c r="I565" s="119"/>
      <c r="J565" s="11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9"/>
      <c r="C566" s="9"/>
      <c r="D566" s="9"/>
      <c r="E566" s="217"/>
      <c r="F566" s="9"/>
      <c r="G566" s="119"/>
      <c r="H566" s="119"/>
      <c r="I566" s="119"/>
      <c r="J566" s="11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9"/>
      <c r="C567" s="9"/>
      <c r="D567" s="9"/>
      <c r="E567" s="217"/>
      <c r="F567" s="9"/>
      <c r="G567" s="119"/>
      <c r="H567" s="119"/>
      <c r="I567" s="119"/>
      <c r="J567" s="11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9"/>
      <c r="C568" s="9"/>
      <c r="D568" s="9"/>
      <c r="E568" s="217"/>
      <c r="F568" s="9"/>
      <c r="G568" s="119"/>
      <c r="H568" s="119"/>
      <c r="I568" s="119"/>
      <c r="J568" s="11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9"/>
      <c r="C569" s="9"/>
      <c r="D569" s="9"/>
      <c r="E569" s="217"/>
      <c r="F569" s="9"/>
      <c r="G569" s="119"/>
      <c r="H569" s="119"/>
      <c r="I569" s="119"/>
      <c r="J569" s="11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9"/>
      <c r="C570" s="9"/>
      <c r="D570" s="9"/>
      <c r="E570" s="217"/>
      <c r="F570" s="9"/>
      <c r="G570" s="119"/>
      <c r="H570" s="119"/>
      <c r="I570" s="119"/>
      <c r="J570" s="11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9"/>
      <c r="C571" s="9"/>
      <c r="D571" s="9"/>
      <c r="E571" s="217"/>
      <c r="F571" s="9"/>
      <c r="G571" s="119"/>
      <c r="H571" s="119"/>
      <c r="I571" s="119"/>
      <c r="J571" s="11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9"/>
      <c r="C572" s="9"/>
      <c r="D572" s="9"/>
      <c r="E572" s="217"/>
      <c r="F572" s="9"/>
      <c r="G572" s="119"/>
      <c r="H572" s="119"/>
      <c r="I572" s="119"/>
      <c r="J572" s="11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9"/>
      <c r="C573" s="9"/>
      <c r="D573" s="9"/>
      <c r="E573" s="217"/>
      <c r="F573" s="9"/>
      <c r="G573" s="119"/>
      <c r="H573" s="119"/>
      <c r="I573" s="119"/>
      <c r="J573" s="11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9"/>
      <c r="C574" s="9"/>
      <c r="D574" s="9"/>
      <c r="E574" s="217"/>
      <c r="F574" s="9"/>
      <c r="G574" s="119"/>
      <c r="H574" s="119"/>
      <c r="I574" s="119"/>
      <c r="J574" s="11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9"/>
      <c r="C575" s="9"/>
      <c r="D575" s="9"/>
      <c r="E575" s="217"/>
      <c r="F575" s="9"/>
      <c r="G575" s="119"/>
      <c r="H575" s="119"/>
      <c r="I575" s="119"/>
      <c r="J575" s="11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9"/>
      <c r="C576" s="9"/>
      <c r="D576" s="9"/>
      <c r="E576" s="217"/>
      <c r="F576" s="9"/>
      <c r="G576" s="119"/>
      <c r="H576" s="119"/>
      <c r="I576" s="119"/>
      <c r="J576" s="11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9"/>
      <c r="C577" s="9"/>
      <c r="D577" s="9"/>
      <c r="E577" s="217"/>
      <c r="F577" s="9"/>
      <c r="G577" s="119"/>
      <c r="H577" s="119"/>
      <c r="I577" s="119"/>
      <c r="J577" s="11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9"/>
      <c r="C578" s="9"/>
      <c r="D578" s="9"/>
      <c r="E578" s="217"/>
      <c r="F578" s="9"/>
      <c r="G578" s="119"/>
      <c r="H578" s="119"/>
      <c r="I578" s="119"/>
      <c r="J578" s="11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9"/>
      <c r="C579" s="9"/>
      <c r="D579" s="9"/>
      <c r="E579" s="217"/>
      <c r="F579" s="9"/>
      <c r="G579" s="119"/>
      <c r="H579" s="119"/>
      <c r="I579" s="119"/>
      <c r="J579" s="11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9"/>
      <c r="C580" s="9"/>
      <c r="D580" s="9"/>
      <c r="E580" s="217"/>
      <c r="F580" s="9"/>
      <c r="G580" s="119"/>
      <c r="H580" s="119"/>
      <c r="I580" s="119"/>
      <c r="J580" s="11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9"/>
      <c r="C581" s="9"/>
      <c r="D581" s="9"/>
      <c r="E581" s="217"/>
      <c r="F581" s="9"/>
      <c r="G581" s="119"/>
      <c r="H581" s="119"/>
      <c r="I581" s="119"/>
      <c r="J581" s="11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9"/>
      <c r="C582" s="9"/>
      <c r="D582" s="9"/>
      <c r="E582" s="217"/>
      <c r="F582" s="9"/>
      <c r="G582" s="119"/>
      <c r="H582" s="119"/>
      <c r="I582" s="119"/>
      <c r="J582" s="11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9"/>
      <c r="C583" s="9"/>
      <c r="D583" s="9"/>
      <c r="E583" s="217"/>
      <c r="F583" s="9"/>
      <c r="G583" s="119"/>
      <c r="H583" s="119"/>
      <c r="I583" s="119"/>
      <c r="J583" s="11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9"/>
      <c r="C584" s="9"/>
      <c r="D584" s="9"/>
      <c r="E584" s="217"/>
      <c r="F584" s="9"/>
      <c r="G584" s="119"/>
      <c r="H584" s="119"/>
      <c r="I584" s="119"/>
      <c r="J584" s="11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9"/>
      <c r="C585" s="9"/>
      <c r="D585" s="9"/>
      <c r="E585" s="217"/>
      <c r="F585" s="9"/>
      <c r="G585" s="119"/>
      <c r="H585" s="119"/>
      <c r="I585" s="119"/>
      <c r="J585" s="11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9"/>
      <c r="C586" s="9"/>
      <c r="D586" s="9"/>
      <c r="E586" s="217"/>
      <c r="F586" s="9"/>
      <c r="G586" s="119"/>
      <c r="H586" s="119"/>
      <c r="I586" s="119"/>
      <c r="J586" s="11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9"/>
      <c r="C587" s="9"/>
      <c r="D587" s="9"/>
      <c r="E587" s="217"/>
      <c r="F587" s="9"/>
      <c r="G587" s="119"/>
      <c r="H587" s="119"/>
      <c r="I587" s="119"/>
      <c r="J587" s="11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9"/>
      <c r="C588" s="9"/>
      <c r="D588" s="9"/>
      <c r="E588" s="217"/>
      <c r="F588" s="9"/>
      <c r="G588" s="119"/>
      <c r="H588" s="119"/>
      <c r="I588" s="119"/>
      <c r="J588" s="11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9"/>
      <c r="C589" s="9"/>
      <c r="D589" s="9"/>
      <c r="E589" s="217"/>
      <c r="F589" s="9"/>
      <c r="G589" s="119"/>
      <c r="H589" s="119"/>
      <c r="I589" s="119"/>
      <c r="J589" s="11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9"/>
      <c r="C590" s="9"/>
      <c r="D590" s="9"/>
      <c r="E590" s="217"/>
      <c r="F590" s="9"/>
      <c r="G590" s="119"/>
      <c r="H590" s="119"/>
      <c r="I590" s="119"/>
      <c r="J590" s="11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9"/>
      <c r="C591" s="9"/>
      <c r="D591" s="9"/>
      <c r="E591" s="217"/>
      <c r="F591" s="9"/>
      <c r="G591" s="119"/>
      <c r="H591" s="119"/>
      <c r="I591" s="119"/>
      <c r="J591" s="11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9"/>
      <c r="C592" s="9"/>
      <c r="D592" s="9"/>
      <c r="E592" s="217"/>
      <c r="F592" s="9"/>
      <c r="G592" s="119"/>
      <c r="H592" s="119"/>
      <c r="I592" s="119"/>
      <c r="J592" s="11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9"/>
      <c r="C593" s="9"/>
      <c r="D593" s="9"/>
      <c r="E593" s="217"/>
      <c r="F593" s="9"/>
      <c r="G593" s="119"/>
      <c r="H593" s="119"/>
      <c r="I593" s="119"/>
      <c r="J593" s="11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9"/>
      <c r="C594" s="9"/>
      <c r="D594" s="9"/>
      <c r="E594" s="217"/>
      <c r="F594" s="9"/>
      <c r="G594" s="119"/>
      <c r="H594" s="119"/>
      <c r="I594" s="119"/>
      <c r="J594" s="11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9"/>
      <c r="C595" s="9"/>
      <c r="D595" s="9"/>
      <c r="E595" s="217"/>
      <c r="F595" s="9"/>
      <c r="G595" s="119"/>
      <c r="H595" s="119"/>
      <c r="I595" s="119"/>
      <c r="J595" s="11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9"/>
      <c r="C596" s="9"/>
      <c r="D596" s="9"/>
      <c r="E596" s="217"/>
      <c r="F596" s="9"/>
      <c r="G596" s="119"/>
      <c r="H596" s="119"/>
      <c r="I596" s="119"/>
      <c r="J596" s="11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9"/>
      <c r="C597" s="9"/>
      <c r="D597" s="9"/>
      <c r="E597" s="217"/>
      <c r="F597" s="9"/>
      <c r="G597" s="119"/>
      <c r="H597" s="119"/>
      <c r="I597" s="119"/>
      <c r="J597" s="11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9"/>
      <c r="C598" s="9"/>
      <c r="D598" s="9"/>
      <c r="E598" s="217"/>
      <c r="F598" s="9"/>
      <c r="G598" s="119"/>
      <c r="H598" s="119"/>
      <c r="I598" s="119"/>
      <c r="J598" s="11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9"/>
      <c r="C599" s="9"/>
      <c r="D599" s="9"/>
      <c r="E599" s="217"/>
      <c r="F599" s="9"/>
      <c r="G599" s="119"/>
      <c r="H599" s="119"/>
      <c r="I599" s="119"/>
      <c r="J599" s="11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9"/>
      <c r="C600" s="9"/>
      <c r="D600" s="9"/>
      <c r="E600" s="217"/>
      <c r="F600" s="9"/>
      <c r="G600" s="119"/>
      <c r="H600" s="119"/>
      <c r="I600" s="119"/>
      <c r="J600" s="11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9"/>
      <c r="C601" s="9"/>
      <c r="D601" s="9"/>
      <c r="E601" s="217"/>
      <c r="F601" s="9"/>
      <c r="G601" s="119"/>
      <c r="H601" s="119"/>
      <c r="I601" s="119"/>
      <c r="J601" s="11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9"/>
      <c r="C602" s="9"/>
      <c r="D602" s="9"/>
      <c r="E602" s="217"/>
      <c r="F602" s="9"/>
      <c r="G602" s="119"/>
      <c r="H602" s="119"/>
      <c r="I602" s="119"/>
      <c r="J602" s="11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9"/>
      <c r="C603" s="9"/>
      <c r="D603" s="9"/>
      <c r="E603" s="217"/>
      <c r="F603" s="9"/>
      <c r="G603" s="119"/>
      <c r="H603" s="119"/>
      <c r="I603" s="119"/>
      <c r="J603" s="11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9"/>
      <c r="C604" s="9"/>
      <c r="D604" s="9"/>
      <c r="E604" s="217"/>
      <c r="F604" s="9"/>
      <c r="G604" s="119"/>
      <c r="H604" s="119"/>
      <c r="I604" s="119"/>
      <c r="J604" s="11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9"/>
      <c r="C605" s="9"/>
      <c r="D605" s="9"/>
      <c r="E605" s="217"/>
      <c r="F605" s="9"/>
      <c r="G605" s="119"/>
      <c r="H605" s="119"/>
      <c r="I605" s="119"/>
      <c r="J605" s="11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9"/>
      <c r="C606" s="9"/>
      <c r="D606" s="9"/>
      <c r="E606" s="217"/>
      <c r="F606" s="9"/>
      <c r="G606" s="119"/>
      <c r="H606" s="119"/>
      <c r="I606" s="119"/>
      <c r="J606" s="11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9"/>
      <c r="C607" s="9"/>
      <c r="D607" s="9"/>
      <c r="E607" s="217"/>
      <c r="F607" s="9"/>
      <c r="G607" s="119"/>
      <c r="H607" s="119"/>
      <c r="I607" s="119"/>
      <c r="J607" s="11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9"/>
      <c r="C608" s="9"/>
      <c r="D608" s="9"/>
      <c r="E608" s="217"/>
      <c r="F608" s="9"/>
      <c r="G608" s="119"/>
      <c r="H608" s="119"/>
      <c r="I608" s="119"/>
      <c r="J608" s="11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9"/>
      <c r="C609" s="9"/>
      <c r="D609" s="9"/>
      <c r="E609" s="217"/>
      <c r="F609" s="9"/>
      <c r="G609" s="119"/>
      <c r="H609" s="119"/>
      <c r="I609" s="119"/>
      <c r="J609" s="11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9"/>
      <c r="C610" s="9"/>
      <c r="D610" s="9"/>
      <c r="E610" s="217"/>
      <c r="F610" s="9"/>
      <c r="G610" s="119"/>
      <c r="H610" s="119"/>
      <c r="I610" s="119"/>
      <c r="J610" s="11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9"/>
      <c r="C611" s="9"/>
      <c r="D611" s="9"/>
      <c r="E611" s="217"/>
      <c r="F611" s="9"/>
      <c r="G611" s="119"/>
      <c r="H611" s="119"/>
      <c r="I611" s="119"/>
      <c r="J611" s="11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9"/>
      <c r="C612" s="9"/>
      <c r="D612" s="9"/>
      <c r="E612" s="217"/>
      <c r="F612" s="9"/>
      <c r="G612" s="119"/>
      <c r="H612" s="119"/>
      <c r="I612" s="119"/>
      <c r="J612" s="11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9"/>
      <c r="C613" s="9"/>
      <c r="D613" s="9"/>
      <c r="E613" s="217"/>
      <c r="F613" s="9"/>
      <c r="G613" s="119"/>
      <c r="H613" s="119"/>
      <c r="I613" s="119"/>
      <c r="J613" s="11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9"/>
      <c r="C614" s="9"/>
      <c r="D614" s="9"/>
      <c r="E614" s="217"/>
      <c r="F614" s="9"/>
      <c r="G614" s="119"/>
      <c r="H614" s="119"/>
      <c r="I614" s="119"/>
      <c r="J614" s="11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9"/>
      <c r="C615" s="9"/>
      <c r="D615" s="9"/>
      <c r="E615" s="217"/>
      <c r="F615" s="9"/>
      <c r="G615" s="119"/>
      <c r="H615" s="119"/>
      <c r="I615" s="119"/>
      <c r="J615" s="11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9"/>
      <c r="C616" s="9"/>
      <c r="D616" s="9"/>
      <c r="E616" s="217"/>
      <c r="F616" s="9"/>
      <c r="G616" s="119"/>
      <c r="H616" s="119"/>
      <c r="I616" s="119"/>
      <c r="J616" s="11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9"/>
      <c r="C617" s="9"/>
      <c r="D617" s="9"/>
      <c r="E617" s="217"/>
      <c r="F617" s="9"/>
      <c r="G617" s="119"/>
      <c r="H617" s="119"/>
      <c r="I617" s="119"/>
      <c r="J617" s="11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9"/>
      <c r="C618" s="9"/>
      <c r="D618" s="9"/>
      <c r="E618" s="217"/>
      <c r="F618" s="9"/>
      <c r="G618" s="119"/>
      <c r="H618" s="119"/>
      <c r="I618" s="119"/>
      <c r="J618" s="11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9"/>
      <c r="C619" s="9"/>
      <c r="D619" s="9"/>
      <c r="E619" s="217"/>
      <c r="F619" s="9"/>
      <c r="G619" s="119"/>
      <c r="H619" s="119"/>
      <c r="I619" s="119"/>
      <c r="J619" s="11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9"/>
      <c r="C620" s="9"/>
      <c r="D620" s="9"/>
      <c r="E620" s="217"/>
      <c r="F620" s="9"/>
      <c r="G620" s="119"/>
      <c r="H620" s="119"/>
      <c r="I620" s="119"/>
      <c r="J620" s="11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9"/>
      <c r="C621" s="9"/>
      <c r="D621" s="9"/>
      <c r="E621" s="217"/>
      <c r="F621" s="9"/>
      <c r="G621" s="119"/>
      <c r="H621" s="119"/>
      <c r="I621" s="119"/>
      <c r="J621" s="11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9"/>
      <c r="C622" s="9"/>
      <c r="D622" s="9"/>
      <c r="E622" s="217"/>
      <c r="F622" s="9"/>
      <c r="G622" s="119"/>
      <c r="H622" s="119"/>
      <c r="I622" s="119"/>
      <c r="J622" s="11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9"/>
      <c r="C623" s="9"/>
      <c r="D623" s="9"/>
      <c r="E623" s="217"/>
      <c r="F623" s="9"/>
      <c r="G623" s="119"/>
      <c r="H623" s="119"/>
      <c r="I623" s="119"/>
      <c r="J623" s="11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9"/>
      <c r="C624" s="9"/>
      <c r="D624" s="9"/>
      <c r="E624" s="217"/>
      <c r="F624" s="9"/>
      <c r="G624" s="119"/>
      <c r="H624" s="119"/>
      <c r="I624" s="119"/>
      <c r="J624" s="11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9"/>
      <c r="C625" s="9"/>
      <c r="D625" s="9"/>
      <c r="E625" s="217"/>
      <c r="F625" s="9"/>
      <c r="G625" s="119"/>
      <c r="H625" s="119"/>
      <c r="I625" s="119"/>
      <c r="J625" s="11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9"/>
      <c r="C626" s="9"/>
      <c r="D626" s="9"/>
      <c r="E626" s="217"/>
      <c r="F626" s="9"/>
      <c r="G626" s="119"/>
      <c r="H626" s="119"/>
      <c r="I626" s="119"/>
      <c r="J626" s="11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9"/>
      <c r="C627" s="9"/>
      <c r="D627" s="9"/>
      <c r="E627" s="217"/>
      <c r="F627" s="9"/>
      <c r="G627" s="119"/>
      <c r="H627" s="119"/>
      <c r="I627" s="119"/>
      <c r="J627" s="11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9"/>
      <c r="C628" s="9"/>
      <c r="D628" s="9"/>
      <c r="E628" s="217"/>
      <c r="F628" s="9"/>
      <c r="G628" s="119"/>
      <c r="H628" s="119"/>
      <c r="I628" s="119"/>
      <c r="J628" s="11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9"/>
      <c r="C629" s="9"/>
      <c r="D629" s="9"/>
      <c r="E629" s="217"/>
      <c r="F629" s="9"/>
      <c r="G629" s="119"/>
      <c r="H629" s="119"/>
      <c r="I629" s="119"/>
      <c r="J629" s="11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9"/>
      <c r="C630" s="9"/>
      <c r="D630" s="9"/>
      <c r="E630" s="217"/>
      <c r="F630" s="9"/>
      <c r="G630" s="119"/>
      <c r="H630" s="119"/>
      <c r="I630" s="119"/>
      <c r="J630" s="11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9"/>
      <c r="C631" s="9"/>
      <c r="D631" s="9"/>
      <c r="E631" s="217"/>
      <c r="F631" s="9"/>
      <c r="G631" s="119"/>
      <c r="H631" s="119"/>
      <c r="I631" s="119"/>
      <c r="J631" s="11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9"/>
      <c r="C632" s="9"/>
      <c r="D632" s="9"/>
      <c r="E632" s="217"/>
      <c r="F632" s="9"/>
      <c r="G632" s="119"/>
      <c r="H632" s="119"/>
      <c r="I632" s="119"/>
      <c r="J632" s="11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9"/>
      <c r="C633" s="9"/>
      <c r="D633" s="9"/>
      <c r="E633" s="217"/>
      <c r="F633" s="9"/>
      <c r="G633" s="119"/>
      <c r="H633" s="119"/>
      <c r="I633" s="119"/>
      <c r="J633" s="11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9"/>
      <c r="C634" s="9"/>
      <c r="D634" s="9"/>
      <c r="E634" s="217"/>
      <c r="F634" s="9"/>
      <c r="G634" s="119"/>
      <c r="H634" s="119"/>
      <c r="I634" s="119"/>
      <c r="J634" s="11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9"/>
      <c r="C635" s="9"/>
      <c r="D635" s="9"/>
      <c r="E635" s="217"/>
      <c r="F635" s="9"/>
      <c r="G635" s="119"/>
      <c r="H635" s="119"/>
      <c r="I635" s="119"/>
      <c r="J635" s="11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9"/>
      <c r="C636" s="9"/>
      <c r="D636" s="9"/>
      <c r="E636" s="217"/>
      <c r="F636" s="9"/>
      <c r="G636" s="119"/>
      <c r="H636" s="119"/>
      <c r="I636" s="119"/>
      <c r="J636" s="11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9"/>
      <c r="C637" s="9"/>
      <c r="D637" s="9"/>
      <c r="E637" s="217"/>
      <c r="F637" s="9"/>
      <c r="G637" s="119"/>
      <c r="H637" s="119"/>
      <c r="I637" s="119"/>
      <c r="J637" s="11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9"/>
      <c r="C638" s="9"/>
      <c r="D638" s="9"/>
      <c r="E638" s="217"/>
      <c r="F638" s="9"/>
      <c r="G638" s="119"/>
      <c r="H638" s="119"/>
      <c r="I638" s="119"/>
      <c r="J638" s="11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9"/>
      <c r="C639" s="9"/>
      <c r="D639" s="9"/>
      <c r="E639" s="217"/>
      <c r="F639" s="9"/>
      <c r="G639" s="119"/>
      <c r="H639" s="119"/>
      <c r="I639" s="119"/>
      <c r="J639" s="11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9"/>
      <c r="C640" s="9"/>
      <c r="D640" s="9"/>
      <c r="E640" s="217"/>
      <c r="F640" s="9"/>
      <c r="G640" s="119"/>
      <c r="H640" s="119"/>
      <c r="I640" s="119"/>
      <c r="J640" s="11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9"/>
      <c r="C641" s="9"/>
      <c r="D641" s="9"/>
      <c r="E641" s="217"/>
      <c r="F641" s="9"/>
      <c r="G641" s="119"/>
      <c r="H641" s="119"/>
      <c r="I641" s="119"/>
      <c r="J641" s="11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9"/>
      <c r="C642" s="9"/>
      <c r="D642" s="9"/>
      <c r="E642" s="217"/>
      <c r="F642" s="9"/>
      <c r="G642" s="119"/>
      <c r="H642" s="119"/>
      <c r="I642" s="119"/>
      <c r="J642" s="11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9"/>
      <c r="C643" s="9"/>
      <c r="D643" s="9"/>
      <c r="E643" s="217"/>
      <c r="F643" s="9"/>
      <c r="G643" s="119"/>
      <c r="H643" s="119"/>
      <c r="I643" s="119"/>
      <c r="J643" s="11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9"/>
      <c r="C644" s="9"/>
      <c r="D644" s="9"/>
      <c r="E644" s="217"/>
      <c r="F644" s="9"/>
      <c r="G644" s="119"/>
      <c r="H644" s="119"/>
      <c r="I644" s="119"/>
      <c r="J644" s="11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9"/>
      <c r="C645" s="9"/>
      <c r="D645" s="9"/>
      <c r="E645" s="217"/>
      <c r="F645" s="9"/>
      <c r="G645" s="119"/>
      <c r="H645" s="119"/>
      <c r="I645" s="119"/>
      <c r="J645" s="11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9"/>
      <c r="C646" s="9"/>
      <c r="D646" s="9"/>
      <c r="E646" s="217"/>
      <c r="F646" s="9"/>
      <c r="G646" s="119"/>
      <c r="H646" s="119"/>
      <c r="I646" s="119"/>
      <c r="J646" s="11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9"/>
      <c r="C647" s="9"/>
      <c r="D647" s="9"/>
      <c r="E647" s="217"/>
      <c r="F647" s="9"/>
      <c r="G647" s="119"/>
      <c r="H647" s="119"/>
      <c r="I647" s="119"/>
      <c r="J647" s="11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9"/>
      <c r="C648" s="9"/>
      <c r="D648" s="9"/>
      <c r="E648" s="217"/>
      <c r="F648" s="9"/>
      <c r="G648" s="119"/>
      <c r="H648" s="119"/>
      <c r="I648" s="119"/>
      <c r="J648" s="11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9"/>
      <c r="C649" s="9"/>
      <c r="D649" s="9"/>
      <c r="E649" s="217"/>
      <c r="F649" s="9"/>
      <c r="G649" s="119"/>
      <c r="H649" s="119"/>
      <c r="I649" s="119"/>
      <c r="J649" s="11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9"/>
      <c r="C650" s="9"/>
      <c r="D650" s="9"/>
      <c r="E650" s="217"/>
      <c r="F650" s="9"/>
      <c r="G650" s="119"/>
      <c r="H650" s="119"/>
      <c r="I650" s="119"/>
      <c r="J650" s="11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9"/>
      <c r="C651" s="9"/>
      <c r="D651" s="9"/>
      <c r="E651" s="217"/>
      <c r="F651" s="9"/>
      <c r="G651" s="119"/>
      <c r="H651" s="119"/>
      <c r="I651" s="119"/>
      <c r="J651" s="11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9"/>
      <c r="C652" s="9"/>
      <c r="D652" s="9"/>
      <c r="E652" s="217"/>
      <c r="F652" s="9"/>
      <c r="G652" s="119"/>
      <c r="H652" s="119"/>
      <c r="I652" s="119"/>
      <c r="J652" s="11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9"/>
      <c r="C653" s="9"/>
      <c r="D653" s="9"/>
      <c r="E653" s="217"/>
      <c r="F653" s="9"/>
      <c r="G653" s="119"/>
      <c r="H653" s="119"/>
      <c r="I653" s="119"/>
      <c r="J653" s="11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9"/>
      <c r="C654" s="9"/>
      <c r="D654" s="9"/>
      <c r="E654" s="217"/>
      <c r="F654" s="9"/>
      <c r="G654" s="119"/>
      <c r="H654" s="119"/>
      <c r="I654" s="119"/>
      <c r="J654" s="11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9"/>
      <c r="C655" s="9"/>
      <c r="D655" s="9"/>
      <c r="E655" s="217"/>
      <c r="F655" s="9"/>
      <c r="G655" s="119"/>
      <c r="H655" s="119"/>
      <c r="I655" s="119"/>
      <c r="J655" s="11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9"/>
      <c r="C656" s="9"/>
      <c r="D656" s="9"/>
      <c r="E656" s="217"/>
      <c r="F656" s="9"/>
      <c r="G656" s="119"/>
      <c r="H656" s="119"/>
      <c r="I656" s="119"/>
      <c r="J656" s="11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9"/>
      <c r="C657" s="9"/>
      <c r="D657" s="9"/>
      <c r="E657" s="217"/>
      <c r="F657" s="9"/>
      <c r="G657" s="119"/>
      <c r="H657" s="119"/>
      <c r="I657" s="119"/>
      <c r="J657" s="11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9"/>
      <c r="C658" s="9"/>
      <c r="D658" s="9"/>
      <c r="E658" s="217"/>
      <c r="F658" s="9"/>
      <c r="G658" s="119"/>
      <c r="H658" s="119"/>
      <c r="I658" s="119"/>
      <c r="J658" s="11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9"/>
      <c r="C659" s="9"/>
      <c r="D659" s="9"/>
      <c r="E659" s="217"/>
      <c r="F659" s="9"/>
      <c r="G659" s="119"/>
      <c r="H659" s="119"/>
      <c r="I659" s="119"/>
      <c r="J659" s="11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9"/>
      <c r="C660" s="9"/>
      <c r="D660" s="9"/>
      <c r="E660" s="217"/>
      <c r="F660" s="9"/>
      <c r="G660" s="119"/>
      <c r="H660" s="119"/>
      <c r="I660" s="119"/>
      <c r="J660" s="11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9"/>
      <c r="C661" s="9"/>
      <c r="D661" s="9"/>
      <c r="E661" s="217"/>
      <c r="F661" s="9"/>
      <c r="G661" s="119"/>
      <c r="H661" s="119"/>
      <c r="I661" s="119"/>
      <c r="J661" s="11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9"/>
      <c r="C662" s="9"/>
      <c r="D662" s="9"/>
      <c r="E662" s="217"/>
      <c r="F662" s="9"/>
      <c r="G662" s="119"/>
      <c r="H662" s="119"/>
      <c r="I662" s="119"/>
      <c r="J662" s="11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9"/>
      <c r="C663" s="9"/>
      <c r="D663" s="9"/>
      <c r="E663" s="217"/>
      <c r="F663" s="9"/>
      <c r="G663" s="119"/>
      <c r="H663" s="119"/>
      <c r="I663" s="119"/>
      <c r="J663" s="11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9"/>
      <c r="C664" s="9"/>
      <c r="D664" s="9"/>
      <c r="E664" s="217"/>
      <c r="F664" s="9"/>
      <c r="G664" s="119"/>
      <c r="H664" s="119"/>
      <c r="I664" s="119"/>
      <c r="J664" s="11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9"/>
      <c r="C665" s="9"/>
      <c r="D665" s="9"/>
      <c r="E665" s="217"/>
      <c r="F665" s="9"/>
      <c r="G665" s="119"/>
      <c r="H665" s="119"/>
      <c r="I665" s="119"/>
      <c r="J665" s="11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9"/>
      <c r="C666" s="9"/>
      <c r="D666" s="9"/>
      <c r="E666" s="217"/>
      <c r="F666" s="9"/>
      <c r="G666" s="119"/>
      <c r="H666" s="119"/>
      <c r="I666" s="119"/>
      <c r="J666" s="11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9"/>
      <c r="C667" s="9"/>
      <c r="D667" s="9"/>
      <c r="E667" s="217"/>
      <c r="F667" s="9"/>
      <c r="G667" s="119"/>
      <c r="H667" s="119"/>
      <c r="I667" s="119"/>
      <c r="J667" s="11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9"/>
      <c r="C668" s="9"/>
      <c r="D668" s="9"/>
      <c r="E668" s="217"/>
      <c r="F668" s="9"/>
      <c r="G668" s="119"/>
      <c r="H668" s="119"/>
      <c r="I668" s="119"/>
      <c r="J668" s="11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9"/>
      <c r="C669" s="9"/>
      <c r="D669" s="9"/>
      <c r="E669" s="217"/>
      <c r="F669" s="9"/>
      <c r="G669" s="119"/>
      <c r="H669" s="119"/>
      <c r="I669" s="119"/>
      <c r="J669" s="11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9"/>
      <c r="C670" s="9"/>
      <c r="D670" s="9"/>
      <c r="E670" s="217"/>
      <c r="F670" s="9"/>
      <c r="G670" s="119"/>
      <c r="H670" s="119"/>
      <c r="I670" s="119"/>
      <c r="J670" s="11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9"/>
      <c r="C671" s="9"/>
      <c r="D671" s="9"/>
      <c r="E671" s="217"/>
      <c r="F671" s="9"/>
      <c r="G671" s="119"/>
      <c r="H671" s="119"/>
      <c r="I671" s="119"/>
      <c r="J671" s="11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9"/>
      <c r="C672" s="9"/>
      <c r="D672" s="9"/>
      <c r="E672" s="217"/>
      <c r="F672" s="9"/>
      <c r="G672" s="119"/>
      <c r="H672" s="119"/>
      <c r="I672" s="119"/>
      <c r="J672" s="11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9"/>
      <c r="C673" s="9"/>
      <c r="D673" s="9"/>
      <c r="E673" s="217"/>
      <c r="F673" s="9"/>
      <c r="G673" s="119"/>
      <c r="H673" s="119"/>
      <c r="I673" s="119"/>
      <c r="J673" s="11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9"/>
      <c r="C674" s="9"/>
      <c r="D674" s="9"/>
      <c r="E674" s="217"/>
      <c r="F674" s="9"/>
      <c r="G674" s="119"/>
      <c r="H674" s="119"/>
      <c r="I674" s="119"/>
      <c r="J674" s="11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9"/>
      <c r="C675" s="9"/>
      <c r="D675" s="9"/>
      <c r="E675" s="217"/>
      <c r="F675" s="9"/>
      <c r="G675" s="119"/>
      <c r="H675" s="119"/>
      <c r="I675" s="119"/>
      <c r="J675" s="11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9"/>
      <c r="C676" s="9"/>
      <c r="D676" s="9"/>
      <c r="E676" s="217"/>
      <c r="F676" s="9"/>
      <c r="G676" s="119"/>
      <c r="H676" s="119"/>
      <c r="I676" s="119"/>
      <c r="J676" s="11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9"/>
      <c r="C677" s="9"/>
      <c r="D677" s="9"/>
      <c r="E677" s="217"/>
      <c r="F677" s="9"/>
      <c r="G677" s="119"/>
      <c r="H677" s="119"/>
      <c r="I677" s="119"/>
      <c r="J677" s="11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9"/>
      <c r="C678" s="9"/>
      <c r="D678" s="9"/>
      <c r="E678" s="217"/>
      <c r="F678" s="9"/>
      <c r="G678" s="119"/>
      <c r="H678" s="119"/>
      <c r="I678" s="119"/>
      <c r="J678" s="11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9"/>
      <c r="C679" s="9"/>
      <c r="D679" s="9"/>
      <c r="E679" s="217"/>
      <c r="F679" s="9"/>
      <c r="G679" s="119"/>
      <c r="H679" s="119"/>
      <c r="I679" s="119"/>
      <c r="J679" s="11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9"/>
      <c r="C680" s="9"/>
      <c r="D680" s="9"/>
      <c r="E680" s="217"/>
      <c r="F680" s="9"/>
      <c r="G680" s="119"/>
      <c r="H680" s="119"/>
      <c r="I680" s="119"/>
      <c r="J680" s="11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9"/>
      <c r="C681" s="9"/>
      <c r="D681" s="9"/>
      <c r="E681" s="217"/>
      <c r="F681" s="9"/>
      <c r="G681" s="119"/>
      <c r="H681" s="119"/>
      <c r="I681" s="119"/>
      <c r="J681" s="11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9"/>
      <c r="C682" s="9"/>
      <c r="D682" s="9"/>
      <c r="E682" s="217"/>
      <c r="F682" s="9"/>
      <c r="G682" s="119"/>
      <c r="H682" s="119"/>
      <c r="I682" s="119"/>
      <c r="J682" s="11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9"/>
      <c r="C683" s="9"/>
      <c r="D683" s="9"/>
      <c r="E683" s="217"/>
      <c r="F683" s="9"/>
      <c r="G683" s="119"/>
      <c r="H683" s="119"/>
      <c r="I683" s="119"/>
      <c r="J683" s="11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9"/>
      <c r="C684" s="9"/>
      <c r="D684" s="9"/>
      <c r="E684" s="217"/>
      <c r="F684" s="9"/>
      <c r="G684" s="119"/>
      <c r="H684" s="119"/>
      <c r="I684" s="119"/>
      <c r="J684" s="11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9"/>
      <c r="C685" s="9"/>
      <c r="D685" s="9"/>
      <c r="E685" s="217"/>
      <c r="F685" s="9"/>
      <c r="G685" s="119"/>
      <c r="H685" s="119"/>
      <c r="I685" s="119"/>
      <c r="J685" s="11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9"/>
      <c r="C686" s="9"/>
      <c r="D686" s="9"/>
      <c r="E686" s="217"/>
      <c r="F686" s="9"/>
      <c r="G686" s="119"/>
      <c r="H686" s="119"/>
      <c r="I686" s="119"/>
      <c r="J686" s="11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9"/>
      <c r="C687" s="9"/>
      <c r="D687" s="9"/>
      <c r="E687" s="217"/>
      <c r="F687" s="9"/>
      <c r="G687" s="119"/>
      <c r="H687" s="119"/>
      <c r="I687" s="119"/>
      <c r="J687" s="11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9"/>
      <c r="C688" s="9"/>
      <c r="D688" s="9"/>
      <c r="E688" s="217"/>
      <c r="F688" s="9"/>
      <c r="G688" s="119"/>
      <c r="H688" s="119"/>
      <c r="I688" s="119"/>
      <c r="J688" s="11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9"/>
      <c r="C689" s="9"/>
      <c r="D689" s="9"/>
      <c r="E689" s="217"/>
      <c r="F689" s="9"/>
      <c r="G689" s="119"/>
      <c r="H689" s="119"/>
      <c r="I689" s="119"/>
      <c r="J689" s="11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9"/>
      <c r="C690" s="9"/>
      <c r="D690" s="9"/>
      <c r="E690" s="217"/>
      <c r="F690" s="9"/>
      <c r="G690" s="119"/>
      <c r="H690" s="119"/>
      <c r="I690" s="119"/>
      <c r="J690" s="11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9"/>
      <c r="C691" s="9"/>
      <c r="D691" s="9"/>
      <c r="E691" s="217"/>
      <c r="F691" s="9"/>
      <c r="G691" s="119"/>
      <c r="H691" s="119"/>
      <c r="I691" s="119"/>
      <c r="J691" s="11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>
      <c r="A692" s="9"/>
      <c r="B692" s="9"/>
      <c r="C692" s="9"/>
      <c r="D692" s="9"/>
      <c r="E692" s="217"/>
      <c r="F692" s="9"/>
      <c r="G692" s="119"/>
      <c r="H692" s="119"/>
      <c r="I692" s="119"/>
      <c r="J692" s="11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ht="15.75" customHeight="1">
      <c r="A693" s="9"/>
      <c r="B693" s="9"/>
      <c r="C693" s="9"/>
      <c r="D693" s="9"/>
      <c r="E693" s="217"/>
      <c r="F693" s="9"/>
      <c r="G693" s="119"/>
      <c r="H693" s="119"/>
      <c r="I693" s="119"/>
      <c r="J693" s="11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ht="15.75" customHeight="1">
      <c r="A694" s="9"/>
      <c r="B694" s="9"/>
      <c r="C694" s="9"/>
      <c r="D694" s="9"/>
      <c r="E694" s="217"/>
      <c r="F694" s="9"/>
      <c r="G694" s="119"/>
      <c r="H694" s="119"/>
      <c r="I694" s="119"/>
      <c r="J694" s="11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ht="15.75" customHeight="1">
      <c r="A695" s="9"/>
      <c r="B695" s="9"/>
      <c r="C695" s="9"/>
      <c r="D695" s="9"/>
      <c r="E695" s="217"/>
      <c r="F695" s="9"/>
      <c r="G695" s="119"/>
      <c r="H695" s="119"/>
      <c r="I695" s="119"/>
      <c r="J695" s="11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ht="15.75" customHeight="1">
      <c r="A696" s="9"/>
      <c r="B696" s="9"/>
      <c r="C696" s="9"/>
      <c r="D696" s="9"/>
      <c r="E696" s="217"/>
      <c r="F696" s="9"/>
      <c r="G696" s="119"/>
      <c r="H696" s="119"/>
      <c r="I696" s="119"/>
      <c r="J696" s="11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ht="15.75" customHeight="1">
      <c r="A697" s="9"/>
      <c r="B697" s="9"/>
      <c r="C697" s="9"/>
      <c r="D697" s="9"/>
      <c r="E697" s="217"/>
      <c r="F697" s="9"/>
      <c r="G697" s="119"/>
      <c r="H697" s="119"/>
      <c r="I697" s="119"/>
      <c r="J697" s="11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ht="15.75" customHeight="1">
      <c r="A698" s="9"/>
      <c r="B698" s="9"/>
      <c r="C698" s="9"/>
      <c r="D698" s="9"/>
      <c r="E698" s="217"/>
      <c r="F698" s="9"/>
      <c r="G698" s="119"/>
      <c r="H698" s="119"/>
      <c r="I698" s="119"/>
      <c r="J698" s="11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ht="15.75" customHeight="1">
      <c r="A699" s="9"/>
      <c r="B699" s="9"/>
      <c r="C699" s="9"/>
      <c r="D699" s="9"/>
      <c r="E699" s="217"/>
      <c r="F699" s="9"/>
      <c r="G699" s="119"/>
      <c r="H699" s="119"/>
      <c r="I699" s="119"/>
      <c r="J699" s="11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ht="15.75" customHeight="1">
      <c r="A700" s="9"/>
      <c r="B700" s="9"/>
      <c r="C700" s="9"/>
      <c r="D700" s="9"/>
      <c r="E700" s="217"/>
      <c r="F700" s="9"/>
      <c r="G700" s="119"/>
      <c r="H700" s="119"/>
      <c r="I700" s="119"/>
      <c r="J700" s="11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ht="15.75" customHeight="1">
      <c r="A701" s="9"/>
      <c r="B701" s="9"/>
      <c r="C701" s="9"/>
      <c r="D701" s="9"/>
      <c r="E701" s="217"/>
      <c r="F701" s="9"/>
      <c r="G701" s="119"/>
      <c r="H701" s="119"/>
      <c r="I701" s="119"/>
      <c r="J701" s="11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ht="15.75" customHeight="1">
      <c r="A702" s="9"/>
      <c r="B702" s="9"/>
      <c r="C702" s="9"/>
      <c r="D702" s="9"/>
      <c r="E702" s="217"/>
      <c r="F702" s="9"/>
      <c r="G702" s="119"/>
      <c r="H702" s="119"/>
      <c r="I702" s="119"/>
      <c r="J702" s="11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ht="15.75" customHeight="1">
      <c r="A703" s="9"/>
      <c r="B703" s="9"/>
      <c r="C703" s="9"/>
      <c r="D703" s="9"/>
      <c r="E703" s="217"/>
      <c r="F703" s="9"/>
      <c r="G703" s="119"/>
      <c r="H703" s="119"/>
      <c r="I703" s="119"/>
      <c r="J703" s="11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ht="15.75" customHeight="1">
      <c r="A704" s="9"/>
      <c r="B704" s="9"/>
      <c r="C704" s="9"/>
      <c r="D704" s="9"/>
      <c r="E704" s="217"/>
      <c r="F704" s="9"/>
      <c r="G704" s="119"/>
      <c r="H704" s="119"/>
      <c r="I704" s="119"/>
      <c r="J704" s="11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ht="15.75" customHeight="1">
      <c r="A705" s="9"/>
      <c r="B705" s="9"/>
      <c r="C705" s="9"/>
      <c r="D705" s="9"/>
      <c r="E705" s="217"/>
      <c r="F705" s="9"/>
      <c r="G705" s="119"/>
      <c r="H705" s="119"/>
      <c r="I705" s="119"/>
      <c r="J705" s="11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ht="15.75" customHeight="1">
      <c r="A706" s="9"/>
      <c r="B706" s="9"/>
      <c r="C706" s="9"/>
      <c r="D706" s="9"/>
      <c r="E706" s="217"/>
      <c r="F706" s="9"/>
      <c r="G706" s="119"/>
      <c r="H706" s="119"/>
      <c r="I706" s="119"/>
      <c r="J706" s="11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ht="15.75" customHeight="1">
      <c r="A707" s="9"/>
      <c r="B707" s="9"/>
      <c r="C707" s="9"/>
      <c r="D707" s="9"/>
      <c r="E707" s="217"/>
      <c r="F707" s="9"/>
      <c r="G707" s="119"/>
      <c r="H707" s="119"/>
      <c r="I707" s="119"/>
      <c r="J707" s="11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ht="15.75" customHeight="1">
      <c r="A708" s="9"/>
      <c r="B708" s="9"/>
      <c r="C708" s="9"/>
      <c r="D708" s="9"/>
      <c r="E708" s="217"/>
      <c r="F708" s="9"/>
      <c r="G708" s="119"/>
      <c r="H708" s="119"/>
      <c r="I708" s="119"/>
      <c r="J708" s="11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ht="15.75" customHeight="1">
      <c r="A709" s="9"/>
      <c r="B709" s="9"/>
      <c r="C709" s="9"/>
      <c r="D709" s="9"/>
      <c r="E709" s="217"/>
      <c r="F709" s="9"/>
      <c r="G709" s="119"/>
      <c r="H709" s="119"/>
      <c r="I709" s="119"/>
      <c r="J709" s="11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ht="15.75" customHeight="1">
      <c r="A710" s="9"/>
      <c r="B710" s="9"/>
      <c r="C710" s="9"/>
      <c r="D710" s="9"/>
      <c r="E710" s="217"/>
      <c r="F710" s="9"/>
      <c r="G710" s="119"/>
      <c r="H710" s="119"/>
      <c r="I710" s="119"/>
      <c r="J710" s="11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ht="15.75" customHeight="1">
      <c r="A711" s="9"/>
      <c r="B711" s="9"/>
      <c r="C711" s="9"/>
      <c r="D711" s="9"/>
      <c r="E711" s="217"/>
      <c r="F711" s="9"/>
      <c r="G711" s="119"/>
      <c r="H711" s="119"/>
      <c r="I711" s="119"/>
      <c r="J711" s="11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ht="15.75" customHeight="1">
      <c r="A712" s="9"/>
      <c r="B712" s="9"/>
      <c r="C712" s="9"/>
      <c r="D712" s="9"/>
      <c r="E712" s="217"/>
      <c r="F712" s="9"/>
      <c r="G712" s="119"/>
      <c r="H712" s="119"/>
      <c r="I712" s="119"/>
      <c r="J712" s="11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ht="15.75" customHeight="1">
      <c r="A713" s="9"/>
      <c r="B713" s="9"/>
      <c r="C713" s="9"/>
      <c r="D713" s="9"/>
      <c r="E713" s="217"/>
      <c r="F713" s="9"/>
      <c r="G713" s="119"/>
      <c r="H713" s="119"/>
      <c r="I713" s="119"/>
      <c r="J713" s="11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ht="15.75" customHeight="1">
      <c r="A714" s="9"/>
      <c r="B714" s="9"/>
      <c r="C714" s="9"/>
      <c r="D714" s="9"/>
      <c r="E714" s="217"/>
      <c r="F714" s="9"/>
      <c r="G714" s="119"/>
      <c r="H714" s="119"/>
      <c r="I714" s="119"/>
      <c r="J714" s="11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ht="15.75" customHeight="1">
      <c r="A715" s="9"/>
      <c r="B715" s="9"/>
      <c r="C715" s="9"/>
      <c r="D715" s="9"/>
      <c r="E715" s="217"/>
      <c r="F715" s="9"/>
      <c r="G715" s="119"/>
      <c r="H715" s="119"/>
      <c r="I715" s="119"/>
      <c r="J715" s="11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ht="15.75" customHeight="1">
      <c r="A716" s="9"/>
      <c r="B716" s="9"/>
      <c r="C716" s="9"/>
      <c r="D716" s="9"/>
      <c r="E716" s="217"/>
      <c r="F716" s="9"/>
      <c r="G716" s="119"/>
      <c r="H716" s="119"/>
      <c r="I716" s="119"/>
      <c r="J716" s="11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ht="15.75" customHeight="1">
      <c r="A717" s="9"/>
      <c r="B717" s="9"/>
      <c r="C717" s="9"/>
      <c r="D717" s="9"/>
      <c r="E717" s="217"/>
      <c r="F717" s="9"/>
      <c r="G717" s="119"/>
      <c r="H717" s="119"/>
      <c r="I717" s="119"/>
      <c r="J717" s="11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ht="15.75" customHeight="1">
      <c r="A718" s="9"/>
      <c r="B718" s="9"/>
      <c r="C718" s="9"/>
      <c r="D718" s="9"/>
      <c r="E718" s="217"/>
      <c r="F718" s="9"/>
      <c r="G718" s="119"/>
      <c r="H718" s="119"/>
      <c r="I718" s="119"/>
      <c r="J718" s="11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ht="15.75" customHeight="1">
      <c r="A719" s="9"/>
      <c r="B719" s="9"/>
      <c r="C719" s="9"/>
      <c r="D719" s="9"/>
      <c r="E719" s="217"/>
      <c r="F719" s="9"/>
      <c r="G719" s="119"/>
      <c r="H719" s="119"/>
      <c r="I719" s="119"/>
      <c r="J719" s="11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ht="15.75" customHeight="1">
      <c r="A720" s="9"/>
      <c r="B720" s="9"/>
      <c r="C720" s="9"/>
      <c r="D720" s="9"/>
      <c r="E720" s="217"/>
      <c r="F720" s="9"/>
      <c r="G720" s="119"/>
      <c r="H720" s="119"/>
      <c r="I720" s="119"/>
      <c r="J720" s="11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ht="15.75" customHeight="1">
      <c r="A721" s="9"/>
      <c r="B721" s="9"/>
      <c r="C721" s="9"/>
      <c r="D721" s="9"/>
      <c r="E721" s="217"/>
      <c r="F721" s="9"/>
      <c r="G721" s="119"/>
      <c r="H721" s="119"/>
      <c r="I721" s="119"/>
      <c r="J721" s="11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ht="15.75" customHeight="1">
      <c r="A722" s="9"/>
      <c r="B722" s="9"/>
      <c r="C722" s="9"/>
      <c r="D722" s="9"/>
      <c r="E722" s="217"/>
      <c r="F722" s="9"/>
      <c r="G722" s="119"/>
      <c r="H722" s="119"/>
      <c r="I722" s="119"/>
      <c r="J722" s="11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ht="15.75" customHeight="1">
      <c r="A723" s="9"/>
      <c r="B723" s="9"/>
      <c r="C723" s="9"/>
      <c r="D723" s="9"/>
      <c r="E723" s="217"/>
      <c r="F723" s="9"/>
      <c r="G723" s="119"/>
      <c r="H723" s="119"/>
      <c r="I723" s="119"/>
      <c r="J723" s="11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ht="15.75" customHeight="1">
      <c r="A724" s="9"/>
      <c r="B724" s="9"/>
      <c r="C724" s="9"/>
      <c r="D724" s="9"/>
      <c r="E724" s="217"/>
      <c r="F724" s="9"/>
      <c r="G724" s="119"/>
      <c r="H724" s="119"/>
      <c r="I724" s="119"/>
      <c r="J724" s="11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ht="15.75" customHeight="1">
      <c r="A725" s="9"/>
      <c r="B725" s="9"/>
      <c r="C725" s="9"/>
      <c r="D725" s="9"/>
      <c r="E725" s="217"/>
      <c r="F725" s="9"/>
      <c r="G725" s="119"/>
      <c r="H725" s="119"/>
      <c r="I725" s="119"/>
      <c r="J725" s="11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ht="15.75" customHeight="1">
      <c r="A726" s="9"/>
      <c r="B726" s="9"/>
      <c r="C726" s="9"/>
      <c r="D726" s="9"/>
      <c r="E726" s="217"/>
      <c r="F726" s="9"/>
      <c r="G726" s="119"/>
      <c r="H726" s="119"/>
      <c r="I726" s="119"/>
      <c r="J726" s="11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ht="15.75" customHeight="1">
      <c r="A727" s="9"/>
      <c r="B727" s="9"/>
      <c r="C727" s="9"/>
      <c r="D727" s="9"/>
      <c r="E727" s="217"/>
      <c r="F727" s="9"/>
      <c r="G727" s="119"/>
      <c r="H727" s="119"/>
      <c r="I727" s="119"/>
      <c r="J727" s="11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ht="15.75" customHeight="1">
      <c r="A728" s="9"/>
      <c r="B728" s="9"/>
      <c r="C728" s="9"/>
      <c r="D728" s="9"/>
      <c r="E728" s="217"/>
      <c r="F728" s="9"/>
      <c r="G728" s="119"/>
      <c r="H728" s="119"/>
      <c r="I728" s="119"/>
      <c r="J728" s="11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ht="15.75" customHeight="1">
      <c r="A729" s="9"/>
      <c r="B729" s="9"/>
      <c r="C729" s="9"/>
      <c r="D729" s="9"/>
      <c r="E729" s="217"/>
      <c r="F729" s="9"/>
      <c r="G729" s="119"/>
      <c r="H729" s="119"/>
      <c r="I729" s="119"/>
      <c r="J729" s="11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ht="15.75" customHeight="1">
      <c r="A730" s="9"/>
      <c r="B730" s="9"/>
      <c r="C730" s="9"/>
      <c r="D730" s="9"/>
      <c r="E730" s="217"/>
      <c r="F730" s="9"/>
      <c r="G730" s="119"/>
      <c r="H730" s="119"/>
      <c r="I730" s="119"/>
      <c r="J730" s="11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ht="15.75" customHeight="1">
      <c r="A731" s="9"/>
      <c r="B731" s="9"/>
      <c r="C731" s="9"/>
      <c r="D731" s="9"/>
      <c r="E731" s="217"/>
      <c r="F731" s="9"/>
      <c r="G731" s="119"/>
      <c r="H731" s="119"/>
      <c r="I731" s="119"/>
      <c r="J731" s="11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ht="15.75" customHeight="1">
      <c r="A732" s="9"/>
      <c r="B732" s="9"/>
      <c r="C732" s="9"/>
      <c r="D732" s="9"/>
      <c r="E732" s="217"/>
      <c r="F732" s="9"/>
      <c r="G732" s="119"/>
      <c r="H732" s="119"/>
      <c r="I732" s="119"/>
      <c r="J732" s="11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ht="15.75" customHeight="1">
      <c r="A733" s="9"/>
      <c r="B733" s="9"/>
      <c r="C733" s="9"/>
      <c r="D733" s="9"/>
      <c r="E733" s="217"/>
      <c r="F733" s="9"/>
      <c r="G733" s="119"/>
      <c r="H733" s="119"/>
      <c r="I733" s="119"/>
      <c r="J733" s="11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ht="15.75" customHeight="1">
      <c r="A734" s="9"/>
      <c r="B734" s="9"/>
      <c r="C734" s="9"/>
      <c r="D734" s="9"/>
      <c r="E734" s="217"/>
      <c r="F734" s="9"/>
      <c r="G734" s="119"/>
      <c r="H734" s="119"/>
      <c r="I734" s="119"/>
      <c r="J734" s="11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ht="15.75" customHeight="1">
      <c r="A735" s="9"/>
      <c r="B735" s="9"/>
      <c r="C735" s="9"/>
      <c r="D735" s="9"/>
      <c r="E735" s="217"/>
      <c r="F735" s="9"/>
      <c r="G735" s="119"/>
      <c r="H735" s="119"/>
      <c r="I735" s="119"/>
      <c r="J735" s="11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ht="15.75" customHeight="1">
      <c r="A736" s="9"/>
      <c r="B736" s="9"/>
      <c r="C736" s="9"/>
      <c r="D736" s="9"/>
      <c r="E736" s="217"/>
      <c r="F736" s="9"/>
      <c r="G736" s="119"/>
      <c r="H736" s="119"/>
      <c r="I736" s="119"/>
      <c r="J736" s="11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ht="15.75" customHeight="1">
      <c r="A737" s="9"/>
      <c r="B737" s="9"/>
      <c r="C737" s="9"/>
      <c r="D737" s="9"/>
      <c r="E737" s="217"/>
      <c r="F737" s="9"/>
      <c r="G737" s="119"/>
      <c r="H737" s="119"/>
      <c r="I737" s="119"/>
      <c r="J737" s="11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ht="15.75" customHeight="1">
      <c r="A738" s="9"/>
      <c r="B738" s="9"/>
      <c r="C738" s="9"/>
      <c r="D738" s="9"/>
      <c r="E738" s="217"/>
      <c r="F738" s="9"/>
      <c r="G738" s="119"/>
      <c r="H738" s="119"/>
      <c r="I738" s="119"/>
      <c r="J738" s="11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ht="15.75" customHeight="1">
      <c r="A739" s="9"/>
      <c r="B739" s="9"/>
      <c r="C739" s="9"/>
      <c r="D739" s="9"/>
      <c r="E739" s="217"/>
      <c r="F739" s="9"/>
      <c r="G739" s="119"/>
      <c r="H739" s="119"/>
      <c r="I739" s="119"/>
      <c r="J739" s="11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ht="15.75" customHeight="1">
      <c r="A740" s="9"/>
      <c r="B740" s="9"/>
      <c r="C740" s="9"/>
      <c r="D740" s="9"/>
      <c r="E740" s="217"/>
      <c r="F740" s="9"/>
      <c r="G740" s="119"/>
      <c r="H740" s="119"/>
      <c r="I740" s="119"/>
      <c r="J740" s="11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ht="15.75" customHeight="1">
      <c r="A741" s="9"/>
      <c r="B741" s="9"/>
      <c r="C741" s="9"/>
      <c r="D741" s="9"/>
      <c r="E741" s="217"/>
      <c r="F741" s="9"/>
      <c r="G741" s="119"/>
      <c r="H741" s="119"/>
      <c r="I741" s="119"/>
      <c r="J741" s="11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ht="15.75" customHeight="1">
      <c r="A742" s="9"/>
      <c r="B742" s="9"/>
      <c r="C742" s="9"/>
      <c r="D742" s="9"/>
      <c r="E742" s="217"/>
      <c r="F742" s="9"/>
      <c r="G742" s="119"/>
      <c r="H742" s="119"/>
      <c r="I742" s="119"/>
      <c r="J742" s="11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ht="15.75" customHeight="1">
      <c r="A743" s="9"/>
      <c r="B743" s="9"/>
      <c r="C743" s="9"/>
      <c r="D743" s="9"/>
      <c r="E743" s="217"/>
      <c r="F743" s="9"/>
      <c r="G743" s="119"/>
      <c r="H743" s="119"/>
      <c r="I743" s="119"/>
      <c r="J743" s="11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ht="15.75" customHeight="1">
      <c r="A744" s="9"/>
      <c r="B744" s="9"/>
      <c r="C744" s="9"/>
      <c r="D744" s="9"/>
      <c r="E744" s="217"/>
      <c r="F744" s="9"/>
      <c r="G744" s="119"/>
      <c r="H744" s="119"/>
      <c r="I744" s="119"/>
      <c r="J744" s="11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ht="15.75" customHeight="1">
      <c r="A745" s="9"/>
      <c r="B745" s="9"/>
      <c r="C745" s="9"/>
      <c r="D745" s="9"/>
      <c r="E745" s="217"/>
      <c r="F745" s="9"/>
      <c r="G745" s="119"/>
      <c r="H745" s="119"/>
      <c r="I745" s="119"/>
      <c r="J745" s="11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ht="15.75" customHeight="1">
      <c r="A746" s="9"/>
      <c r="B746" s="9"/>
      <c r="C746" s="9"/>
      <c r="D746" s="9"/>
      <c r="E746" s="217"/>
      <c r="F746" s="9"/>
      <c r="G746" s="119"/>
      <c r="H746" s="119"/>
      <c r="I746" s="119"/>
      <c r="J746" s="11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ht="15.75" customHeight="1">
      <c r="A747" s="9"/>
      <c r="B747" s="9"/>
      <c r="C747" s="9"/>
      <c r="D747" s="9"/>
      <c r="E747" s="217"/>
      <c r="F747" s="9"/>
      <c r="G747" s="119"/>
      <c r="H747" s="119"/>
      <c r="I747" s="119"/>
      <c r="J747" s="11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ht="15.75" customHeight="1">
      <c r="A748" s="9"/>
      <c r="B748" s="9"/>
      <c r="C748" s="9"/>
      <c r="D748" s="9"/>
      <c r="E748" s="217"/>
      <c r="F748" s="9"/>
      <c r="G748" s="119"/>
      <c r="H748" s="119"/>
      <c r="I748" s="119"/>
      <c r="J748" s="11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ht="15.75" customHeight="1">
      <c r="A749" s="9"/>
      <c r="B749" s="9"/>
      <c r="C749" s="9"/>
      <c r="D749" s="9"/>
      <c r="E749" s="217"/>
      <c r="F749" s="9"/>
      <c r="G749" s="119"/>
      <c r="H749" s="119"/>
      <c r="I749" s="119"/>
      <c r="J749" s="11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ht="15.75" customHeight="1">
      <c r="A750" s="9"/>
      <c r="B750" s="9"/>
      <c r="C750" s="9"/>
      <c r="D750" s="9"/>
      <c r="E750" s="217"/>
      <c r="F750" s="9"/>
      <c r="G750" s="119"/>
      <c r="H750" s="119"/>
      <c r="I750" s="119"/>
      <c r="J750" s="11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ht="15.75" customHeight="1">
      <c r="A751" s="9"/>
      <c r="B751" s="9"/>
      <c r="C751" s="9"/>
      <c r="D751" s="9"/>
      <c r="E751" s="217"/>
      <c r="F751" s="9"/>
      <c r="G751" s="119"/>
      <c r="H751" s="119"/>
      <c r="I751" s="119"/>
      <c r="J751" s="11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ht="15.75" customHeight="1">
      <c r="A752" s="9"/>
      <c r="B752" s="9"/>
      <c r="C752" s="9"/>
      <c r="D752" s="9"/>
      <c r="E752" s="217"/>
      <c r="F752" s="9"/>
      <c r="G752" s="119"/>
      <c r="H752" s="119"/>
      <c r="I752" s="119"/>
      <c r="J752" s="11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ht="15.75" customHeight="1">
      <c r="A753" s="9"/>
      <c r="B753" s="9"/>
      <c r="C753" s="9"/>
      <c r="D753" s="9"/>
      <c r="E753" s="217"/>
      <c r="F753" s="9"/>
      <c r="G753" s="119"/>
      <c r="H753" s="119"/>
      <c r="I753" s="119"/>
      <c r="J753" s="11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ht="15.75" customHeight="1">
      <c r="A754" s="9"/>
      <c r="B754" s="9"/>
      <c r="C754" s="9"/>
      <c r="D754" s="9"/>
      <c r="E754" s="217"/>
      <c r="F754" s="9"/>
      <c r="G754" s="119"/>
      <c r="H754" s="119"/>
      <c r="I754" s="119"/>
      <c r="J754" s="11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ht="15.75" customHeight="1">
      <c r="A755" s="9"/>
      <c r="B755" s="9"/>
      <c r="C755" s="9"/>
      <c r="D755" s="9"/>
      <c r="E755" s="217"/>
      <c r="F755" s="9"/>
      <c r="G755" s="119"/>
      <c r="H755" s="119"/>
      <c r="I755" s="119"/>
      <c r="J755" s="11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ht="15.75" customHeight="1">
      <c r="A756" s="9"/>
      <c r="B756" s="9"/>
      <c r="C756" s="9"/>
      <c r="D756" s="9"/>
      <c r="E756" s="217"/>
      <c r="F756" s="9"/>
      <c r="G756" s="119"/>
      <c r="H756" s="119"/>
      <c r="I756" s="119"/>
      <c r="J756" s="11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ht="15.75" customHeight="1">
      <c r="A757" s="9"/>
      <c r="B757" s="9"/>
      <c r="C757" s="9"/>
      <c r="D757" s="9"/>
      <c r="E757" s="217"/>
      <c r="F757" s="9"/>
      <c r="G757" s="119"/>
      <c r="H757" s="119"/>
      <c r="I757" s="119"/>
      <c r="J757" s="11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ht="15.75" customHeight="1">
      <c r="A758" s="9"/>
      <c r="B758" s="9"/>
      <c r="C758" s="9"/>
      <c r="D758" s="9"/>
      <c r="E758" s="217"/>
      <c r="F758" s="9"/>
      <c r="G758" s="119"/>
      <c r="H758" s="119"/>
      <c r="I758" s="119"/>
      <c r="J758" s="11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ht="15.75" customHeight="1">
      <c r="A759" s="9"/>
      <c r="B759" s="9"/>
      <c r="C759" s="9"/>
      <c r="D759" s="9"/>
      <c r="E759" s="217"/>
      <c r="F759" s="9"/>
      <c r="G759" s="119"/>
      <c r="H759" s="119"/>
      <c r="I759" s="119"/>
      <c r="J759" s="11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ht="15.75" customHeight="1">
      <c r="A760" s="9"/>
      <c r="B760" s="9"/>
      <c r="C760" s="9"/>
      <c r="D760" s="9"/>
      <c r="E760" s="217"/>
      <c r="F760" s="9"/>
      <c r="G760" s="119"/>
      <c r="H760" s="119"/>
      <c r="I760" s="119"/>
      <c r="J760" s="11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ht="15.75" customHeight="1">
      <c r="A761" s="9"/>
      <c r="B761" s="9"/>
      <c r="C761" s="9"/>
      <c r="D761" s="9"/>
      <c r="E761" s="217"/>
      <c r="F761" s="9"/>
      <c r="G761" s="119"/>
      <c r="H761" s="119"/>
      <c r="I761" s="119"/>
      <c r="J761" s="11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ht="15.75" customHeight="1">
      <c r="A762" s="9"/>
      <c r="B762" s="9"/>
      <c r="C762" s="9"/>
      <c r="D762" s="9"/>
      <c r="E762" s="217"/>
      <c r="F762" s="9"/>
      <c r="G762" s="119"/>
      <c r="H762" s="119"/>
      <c r="I762" s="119"/>
      <c r="J762" s="11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ht="15.75" customHeight="1">
      <c r="A763" s="9"/>
      <c r="B763" s="9"/>
      <c r="C763" s="9"/>
      <c r="D763" s="9"/>
      <c r="E763" s="217"/>
      <c r="F763" s="9"/>
      <c r="G763" s="119"/>
      <c r="H763" s="119"/>
      <c r="I763" s="119"/>
      <c r="J763" s="11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ht="15.75" customHeight="1">
      <c r="A764" s="9"/>
      <c r="B764" s="9"/>
      <c r="C764" s="9"/>
      <c r="D764" s="9"/>
      <c r="E764" s="217"/>
      <c r="F764" s="9"/>
      <c r="G764" s="119"/>
      <c r="H764" s="119"/>
      <c r="I764" s="119"/>
      <c r="J764" s="11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ht="15.75" customHeight="1">
      <c r="A765" s="9"/>
      <c r="B765" s="9"/>
      <c r="C765" s="9"/>
      <c r="D765" s="9"/>
      <c r="E765" s="217"/>
      <c r="F765" s="9"/>
      <c r="G765" s="119"/>
      <c r="H765" s="119"/>
      <c r="I765" s="119"/>
      <c r="J765" s="11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ht="15.75" customHeight="1">
      <c r="A766" s="9"/>
      <c r="B766" s="9"/>
      <c r="C766" s="9"/>
      <c r="D766" s="9"/>
      <c r="E766" s="217"/>
      <c r="F766" s="9"/>
      <c r="G766" s="119"/>
      <c r="H766" s="119"/>
      <c r="I766" s="119"/>
      <c r="J766" s="11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ht="15.75" customHeight="1">
      <c r="A767" s="9"/>
      <c r="B767" s="9"/>
      <c r="C767" s="9"/>
      <c r="D767" s="9"/>
      <c r="E767" s="217"/>
      <c r="F767" s="9"/>
      <c r="G767" s="119"/>
      <c r="H767" s="119"/>
      <c r="I767" s="119"/>
      <c r="J767" s="11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ht="15.75" customHeight="1">
      <c r="A768" s="9"/>
      <c r="B768" s="9"/>
      <c r="C768" s="9"/>
      <c r="D768" s="9"/>
      <c r="E768" s="217"/>
      <c r="F768" s="9"/>
      <c r="G768" s="119"/>
      <c r="H768" s="119"/>
      <c r="I768" s="119"/>
      <c r="J768" s="11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ht="15.75" customHeight="1">
      <c r="A769" s="9"/>
      <c r="B769" s="9"/>
      <c r="C769" s="9"/>
      <c r="D769" s="9"/>
      <c r="E769" s="217"/>
      <c r="F769" s="9"/>
      <c r="G769" s="119"/>
      <c r="H769" s="119"/>
      <c r="I769" s="119"/>
      <c r="J769" s="11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ht="15.75" customHeight="1">
      <c r="A770" s="9"/>
      <c r="B770" s="9"/>
      <c r="C770" s="9"/>
      <c r="D770" s="9"/>
      <c r="E770" s="217"/>
      <c r="F770" s="9"/>
      <c r="G770" s="119"/>
      <c r="H770" s="119"/>
      <c r="I770" s="119"/>
      <c r="J770" s="11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ht="15.75" customHeight="1">
      <c r="A771" s="9"/>
      <c r="B771" s="9"/>
      <c r="C771" s="9"/>
      <c r="D771" s="9"/>
      <c r="E771" s="217"/>
      <c r="F771" s="9"/>
      <c r="G771" s="119"/>
      <c r="H771" s="119"/>
      <c r="I771" s="119"/>
      <c r="J771" s="11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ht="15.75" customHeight="1">
      <c r="A772" s="9"/>
      <c r="B772" s="9"/>
      <c r="C772" s="9"/>
      <c r="D772" s="9"/>
      <c r="E772" s="217"/>
      <c r="F772" s="9"/>
      <c r="G772" s="119"/>
      <c r="H772" s="119"/>
      <c r="I772" s="119"/>
      <c r="J772" s="11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ht="15.75" customHeight="1">
      <c r="A773" s="9"/>
      <c r="B773" s="9"/>
      <c r="C773" s="9"/>
      <c r="D773" s="9"/>
      <c r="E773" s="217"/>
      <c r="F773" s="9"/>
      <c r="G773" s="119"/>
      <c r="H773" s="119"/>
      <c r="I773" s="119"/>
      <c r="J773" s="11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ht="15.75" customHeight="1">
      <c r="A774" s="9"/>
      <c r="B774" s="9"/>
      <c r="C774" s="9"/>
      <c r="D774" s="9"/>
      <c r="E774" s="217"/>
      <c r="F774" s="9"/>
      <c r="G774" s="119"/>
      <c r="H774" s="119"/>
      <c r="I774" s="119"/>
      <c r="J774" s="11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ht="15.75" customHeight="1">
      <c r="A775" s="9"/>
      <c r="B775" s="9"/>
      <c r="C775" s="9"/>
      <c r="D775" s="9"/>
      <c r="E775" s="217"/>
      <c r="F775" s="9"/>
      <c r="G775" s="119"/>
      <c r="H775" s="119"/>
      <c r="I775" s="119"/>
      <c r="J775" s="11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ht="15.75" customHeight="1">
      <c r="A776" s="9"/>
      <c r="B776" s="9"/>
      <c r="C776" s="9"/>
      <c r="D776" s="9"/>
      <c r="E776" s="217"/>
      <c r="F776" s="9"/>
      <c r="G776" s="119"/>
      <c r="H776" s="119"/>
      <c r="I776" s="119"/>
      <c r="J776" s="11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ht="15.75" customHeight="1">
      <c r="A777" s="9"/>
      <c r="B777" s="9"/>
      <c r="C777" s="9"/>
      <c r="D777" s="9"/>
      <c r="E777" s="217"/>
      <c r="F777" s="9"/>
      <c r="G777" s="119"/>
      <c r="H777" s="119"/>
      <c r="I777" s="119"/>
      <c r="J777" s="11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ht="15.75" customHeight="1">
      <c r="A778" s="9"/>
      <c r="B778" s="9"/>
      <c r="C778" s="9"/>
      <c r="D778" s="9"/>
      <c r="E778" s="217"/>
      <c r="F778" s="9"/>
      <c r="G778" s="119"/>
      <c r="H778" s="119"/>
      <c r="I778" s="119"/>
      <c r="J778" s="11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ht="15.75" customHeight="1">
      <c r="A779" s="9"/>
      <c r="B779" s="9"/>
      <c r="C779" s="9"/>
      <c r="D779" s="9"/>
      <c r="E779" s="217"/>
      <c r="F779" s="9"/>
      <c r="G779" s="119"/>
      <c r="H779" s="119"/>
      <c r="I779" s="119"/>
      <c r="J779" s="11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ht="15.75" customHeight="1">
      <c r="A780" s="9"/>
      <c r="B780" s="9"/>
      <c r="C780" s="9"/>
      <c r="D780" s="9"/>
      <c r="E780" s="217"/>
      <c r="F780" s="9"/>
      <c r="G780" s="119"/>
      <c r="H780" s="119"/>
      <c r="I780" s="119"/>
      <c r="J780" s="11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ht="15.75" customHeight="1">
      <c r="A781" s="9"/>
      <c r="B781" s="9"/>
      <c r="C781" s="9"/>
      <c r="D781" s="9"/>
      <c r="E781" s="217"/>
      <c r="F781" s="9"/>
      <c r="G781" s="119"/>
      <c r="H781" s="119"/>
      <c r="I781" s="119"/>
      <c r="J781" s="11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ht="15.75" customHeight="1">
      <c r="A782" s="9"/>
      <c r="B782" s="9"/>
      <c r="C782" s="9"/>
      <c r="D782" s="9"/>
      <c r="E782" s="217"/>
      <c r="F782" s="9"/>
      <c r="G782" s="119"/>
      <c r="H782" s="119"/>
      <c r="I782" s="119"/>
      <c r="J782" s="11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ht="15.75" customHeight="1">
      <c r="A783" s="9"/>
      <c r="B783" s="9"/>
      <c r="C783" s="9"/>
      <c r="D783" s="9"/>
      <c r="E783" s="217"/>
      <c r="F783" s="9"/>
      <c r="G783" s="119"/>
      <c r="H783" s="119"/>
      <c r="I783" s="119"/>
      <c r="J783" s="11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ht="15.75" customHeight="1">
      <c r="A784" s="9"/>
      <c r="B784" s="9"/>
      <c r="C784" s="9"/>
      <c r="D784" s="9"/>
      <c r="E784" s="217"/>
      <c r="F784" s="9"/>
      <c r="G784" s="119"/>
      <c r="H784" s="119"/>
      <c r="I784" s="119"/>
      <c r="J784" s="11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ht="15.75" customHeight="1">
      <c r="A785" s="9"/>
      <c r="B785" s="9"/>
      <c r="C785" s="9"/>
      <c r="D785" s="9"/>
      <c r="E785" s="217"/>
      <c r="F785" s="9"/>
      <c r="G785" s="119"/>
      <c r="H785" s="119"/>
      <c r="I785" s="119"/>
      <c r="J785" s="11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ht="15.75" customHeight="1">
      <c r="A786" s="9"/>
      <c r="B786" s="9"/>
      <c r="C786" s="9"/>
      <c r="D786" s="9"/>
      <c r="E786" s="217"/>
      <c r="F786" s="9"/>
      <c r="G786" s="119"/>
      <c r="H786" s="119"/>
      <c r="I786" s="119"/>
      <c r="J786" s="11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ht="15.75" customHeight="1">
      <c r="A787" s="9"/>
      <c r="B787" s="9"/>
      <c r="C787" s="9"/>
      <c r="D787" s="9"/>
      <c r="E787" s="217"/>
      <c r="F787" s="9"/>
      <c r="G787" s="119"/>
      <c r="H787" s="119"/>
      <c r="I787" s="119"/>
      <c r="J787" s="11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ht="15.75" customHeight="1">
      <c r="A788" s="9"/>
      <c r="B788" s="9"/>
      <c r="C788" s="9"/>
      <c r="D788" s="9"/>
      <c r="E788" s="217"/>
      <c r="F788" s="9"/>
      <c r="G788" s="119"/>
      <c r="H788" s="119"/>
      <c r="I788" s="119"/>
      <c r="J788" s="11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ht="15.75" customHeight="1">
      <c r="A789" s="9"/>
      <c r="B789" s="9"/>
      <c r="C789" s="9"/>
      <c r="D789" s="9"/>
      <c r="E789" s="217"/>
      <c r="F789" s="9"/>
      <c r="G789" s="119"/>
      <c r="H789" s="119"/>
      <c r="I789" s="119"/>
      <c r="J789" s="11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ht="15.75" customHeight="1">
      <c r="A790" s="9"/>
      <c r="B790" s="9"/>
      <c r="C790" s="9"/>
      <c r="D790" s="9"/>
      <c r="E790" s="217"/>
      <c r="F790" s="9"/>
      <c r="G790" s="119"/>
      <c r="H790" s="119"/>
      <c r="I790" s="119"/>
      <c r="J790" s="11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ht="15.75" customHeight="1">
      <c r="A791" s="9"/>
      <c r="B791" s="9"/>
      <c r="C791" s="9"/>
      <c r="D791" s="9"/>
      <c r="E791" s="217"/>
      <c r="F791" s="9"/>
      <c r="G791" s="119"/>
      <c r="H791" s="119"/>
      <c r="I791" s="119"/>
      <c r="J791" s="11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ht="15.75" customHeight="1">
      <c r="A792" s="9"/>
      <c r="B792" s="9"/>
      <c r="C792" s="9"/>
      <c r="D792" s="9"/>
      <c r="E792" s="217"/>
      <c r="F792" s="9"/>
      <c r="G792" s="119"/>
      <c r="H792" s="119"/>
      <c r="I792" s="119"/>
      <c r="J792" s="11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ht="15.75" customHeight="1">
      <c r="A793" s="9"/>
      <c r="B793" s="9"/>
      <c r="C793" s="9"/>
      <c r="D793" s="9"/>
      <c r="E793" s="217"/>
      <c r="F793" s="9"/>
      <c r="G793" s="119"/>
      <c r="H793" s="119"/>
      <c r="I793" s="119"/>
      <c r="J793" s="11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ht="15.75" customHeight="1">
      <c r="A794" s="9"/>
      <c r="B794" s="9"/>
      <c r="C794" s="9"/>
      <c r="D794" s="9"/>
      <c r="E794" s="217"/>
      <c r="F794" s="9"/>
      <c r="G794" s="119"/>
      <c r="H794" s="119"/>
      <c r="I794" s="119"/>
      <c r="J794" s="11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ht="15.75" customHeight="1">
      <c r="A795" s="9"/>
      <c r="B795" s="9"/>
      <c r="C795" s="9"/>
      <c r="D795" s="9"/>
      <c r="E795" s="217"/>
      <c r="F795" s="9"/>
      <c r="G795" s="119"/>
      <c r="H795" s="119"/>
      <c r="I795" s="119"/>
      <c r="J795" s="11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ht="15.75" customHeight="1">
      <c r="A796" s="9"/>
      <c r="B796" s="9"/>
      <c r="C796" s="9"/>
      <c r="D796" s="9"/>
      <c r="E796" s="217"/>
      <c r="F796" s="9"/>
      <c r="G796" s="119"/>
      <c r="H796" s="119"/>
      <c r="I796" s="119"/>
      <c r="J796" s="11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ht="15.75" customHeight="1">
      <c r="A797" s="9"/>
      <c r="B797" s="9"/>
      <c r="C797" s="9"/>
      <c r="D797" s="9"/>
      <c r="E797" s="217"/>
      <c r="F797" s="9"/>
      <c r="G797" s="119"/>
      <c r="H797" s="119"/>
      <c r="I797" s="119"/>
      <c r="J797" s="11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ht="15.75" customHeight="1">
      <c r="A798" s="9"/>
      <c r="B798" s="9"/>
      <c r="C798" s="9"/>
      <c r="D798" s="9"/>
      <c r="E798" s="217"/>
      <c r="F798" s="9"/>
      <c r="G798" s="119"/>
      <c r="H798" s="119"/>
      <c r="I798" s="119"/>
      <c r="J798" s="11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ht="15.75" customHeight="1">
      <c r="A799" s="9"/>
      <c r="B799" s="9"/>
      <c r="C799" s="9"/>
      <c r="D799" s="9"/>
      <c r="E799" s="217"/>
      <c r="F799" s="9"/>
      <c r="G799" s="119"/>
      <c r="H799" s="119"/>
      <c r="I799" s="119"/>
      <c r="J799" s="11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ht="15.75" customHeight="1">
      <c r="A800" s="9"/>
      <c r="B800" s="9"/>
      <c r="C800" s="9"/>
      <c r="D800" s="9"/>
      <c r="E800" s="217"/>
      <c r="F800" s="9"/>
      <c r="G800" s="119"/>
      <c r="H800" s="119"/>
      <c r="I800" s="119"/>
      <c r="J800" s="11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ht="15.75" customHeight="1">
      <c r="A801" s="9"/>
      <c r="B801" s="9"/>
      <c r="C801" s="9"/>
      <c r="D801" s="9"/>
      <c r="E801" s="217"/>
      <c r="F801" s="9"/>
      <c r="G801" s="119"/>
      <c r="H801" s="119"/>
      <c r="I801" s="119"/>
      <c r="J801" s="11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ht="15.75" customHeight="1">
      <c r="A802" s="9"/>
      <c r="B802" s="9"/>
      <c r="C802" s="9"/>
      <c r="D802" s="9"/>
      <c r="E802" s="217"/>
      <c r="F802" s="9"/>
      <c r="G802" s="119"/>
      <c r="H802" s="119"/>
      <c r="I802" s="119"/>
      <c r="J802" s="11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ht="15.75" customHeight="1">
      <c r="A803" s="9"/>
      <c r="B803" s="9"/>
      <c r="C803" s="9"/>
      <c r="D803" s="9"/>
      <c r="E803" s="217"/>
      <c r="F803" s="9"/>
      <c r="G803" s="119"/>
      <c r="H803" s="119"/>
      <c r="I803" s="119"/>
      <c r="J803" s="11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ht="15.75" customHeight="1">
      <c r="A804" s="9"/>
      <c r="B804" s="9"/>
      <c r="C804" s="9"/>
      <c r="D804" s="9"/>
      <c r="E804" s="217"/>
      <c r="F804" s="9"/>
      <c r="G804" s="119"/>
      <c r="H804" s="119"/>
      <c r="I804" s="119"/>
      <c r="J804" s="11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ht="15.75" customHeight="1">
      <c r="A805" s="9"/>
      <c r="B805" s="9"/>
      <c r="C805" s="9"/>
      <c r="D805" s="9"/>
      <c r="E805" s="217"/>
      <c r="F805" s="9"/>
      <c r="G805" s="119"/>
      <c r="H805" s="119"/>
      <c r="I805" s="119"/>
      <c r="J805" s="11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ht="15.75" customHeight="1">
      <c r="A806" s="9"/>
      <c r="B806" s="9"/>
      <c r="C806" s="9"/>
      <c r="D806" s="9"/>
      <c r="E806" s="217"/>
      <c r="F806" s="9"/>
      <c r="G806" s="119"/>
      <c r="H806" s="119"/>
      <c r="I806" s="119"/>
      <c r="J806" s="11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ht="15.75" customHeight="1">
      <c r="A807" s="9"/>
      <c r="B807" s="9"/>
      <c r="C807" s="9"/>
      <c r="D807" s="9"/>
      <c r="E807" s="217"/>
      <c r="F807" s="9"/>
      <c r="G807" s="119"/>
      <c r="H807" s="119"/>
      <c r="I807" s="119"/>
      <c r="J807" s="11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ht="15.75" customHeight="1">
      <c r="A808" s="9"/>
      <c r="B808" s="9"/>
      <c r="C808" s="9"/>
      <c r="D808" s="9"/>
      <c r="E808" s="217"/>
      <c r="F808" s="9"/>
      <c r="G808" s="119"/>
      <c r="H808" s="119"/>
      <c r="I808" s="119"/>
      <c r="J808" s="11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ht="15.75" customHeight="1">
      <c r="A809" s="9"/>
      <c r="B809" s="9"/>
      <c r="C809" s="9"/>
      <c r="D809" s="9"/>
      <c r="E809" s="217"/>
      <c r="F809" s="9"/>
      <c r="G809" s="119"/>
      <c r="H809" s="119"/>
      <c r="I809" s="119"/>
      <c r="J809" s="11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ht="15.75" customHeight="1">
      <c r="A810" s="9"/>
      <c r="B810" s="9"/>
      <c r="C810" s="9"/>
      <c r="D810" s="9"/>
      <c r="E810" s="217"/>
      <c r="F810" s="9"/>
      <c r="G810" s="119"/>
      <c r="H810" s="119"/>
      <c r="I810" s="119"/>
      <c r="J810" s="11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ht="15.75" customHeight="1">
      <c r="A811" s="9"/>
      <c r="B811" s="9"/>
      <c r="C811" s="9"/>
      <c r="D811" s="9"/>
      <c r="E811" s="217"/>
      <c r="F811" s="9"/>
      <c r="G811" s="119"/>
      <c r="H811" s="119"/>
      <c r="I811" s="119"/>
      <c r="J811" s="11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ht="15.75" customHeight="1">
      <c r="A812" s="9"/>
      <c r="B812" s="9"/>
      <c r="C812" s="9"/>
      <c r="D812" s="9"/>
      <c r="E812" s="217"/>
      <c r="F812" s="9"/>
      <c r="G812" s="119"/>
      <c r="H812" s="119"/>
      <c r="I812" s="119"/>
      <c r="J812" s="11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ht="15.75" customHeight="1">
      <c r="A813" s="9"/>
      <c r="B813" s="9"/>
      <c r="C813" s="9"/>
      <c r="D813" s="9"/>
      <c r="E813" s="217"/>
      <c r="F813" s="9"/>
      <c r="G813" s="119"/>
      <c r="H813" s="119"/>
      <c r="I813" s="119"/>
      <c r="J813" s="11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ht="15.75" customHeight="1">
      <c r="A814" s="9"/>
      <c r="B814" s="9"/>
      <c r="C814" s="9"/>
      <c r="D814" s="9"/>
      <c r="E814" s="217"/>
      <c r="F814" s="9"/>
      <c r="G814" s="119"/>
      <c r="H814" s="119"/>
      <c r="I814" s="119"/>
      <c r="J814" s="11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ht="15.75" customHeight="1">
      <c r="A815" s="9"/>
      <c r="B815" s="9"/>
      <c r="C815" s="9"/>
      <c r="D815" s="9"/>
      <c r="E815" s="217"/>
      <c r="F815" s="9"/>
      <c r="G815" s="119"/>
      <c r="H815" s="119"/>
      <c r="I815" s="119"/>
      <c r="J815" s="11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ht="15.75" customHeight="1">
      <c r="A816" s="9"/>
      <c r="B816" s="9"/>
      <c r="C816" s="9"/>
      <c r="D816" s="9"/>
      <c r="E816" s="217"/>
      <c r="F816" s="9"/>
      <c r="G816" s="119"/>
      <c r="H816" s="119"/>
      <c r="I816" s="119"/>
      <c r="J816" s="11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ht="15.75" customHeight="1">
      <c r="A817" s="9"/>
      <c r="B817" s="9"/>
      <c r="C817" s="9"/>
      <c r="D817" s="9"/>
      <c r="E817" s="217"/>
      <c r="F817" s="9"/>
      <c r="G817" s="119"/>
      <c r="H817" s="119"/>
      <c r="I817" s="119"/>
      <c r="J817" s="11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ht="15.75" customHeight="1">
      <c r="A818" s="9"/>
      <c r="B818" s="9"/>
      <c r="C818" s="9"/>
      <c r="D818" s="9"/>
      <c r="E818" s="217"/>
      <c r="F818" s="9"/>
      <c r="G818" s="119"/>
      <c r="H818" s="119"/>
      <c r="I818" s="119"/>
      <c r="J818" s="11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ht="15.75" customHeight="1">
      <c r="A819" s="9"/>
      <c r="B819" s="9"/>
      <c r="C819" s="9"/>
      <c r="D819" s="9"/>
      <c r="E819" s="217"/>
      <c r="F819" s="9"/>
      <c r="G819" s="119"/>
      <c r="H819" s="119"/>
      <c r="I819" s="119"/>
      <c r="J819" s="11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ht="15.75" customHeight="1">
      <c r="A820" s="9"/>
      <c r="B820" s="9"/>
      <c r="C820" s="9"/>
      <c r="D820" s="9"/>
      <c r="E820" s="217"/>
      <c r="F820" s="9"/>
      <c r="G820" s="119"/>
      <c r="H820" s="119"/>
      <c r="I820" s="119"/>
      <c r="J820" s="11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ht="15.75" customHeight="1">
      <c r="A821" s="9"/>
      <c r="B821" s="9"/>
      <c r="C821" s="9"/>
      <c r="D821" s="9"/>
      <c r="E821" s="217"/>
      <c r="F821" s="9"/>
      <c r="G821" s="119"/>
      <c r="H821" s="119"/>
      <c r="I821" s="119"/>
      <c r="J821" s="11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ht="15.75" customHeight="1">
      <c r="A822" s="9"/>
      <c r="B822" s="9"/>
      <c r="C822" s="9"/>
      <c r="D822" s="9"/>
      <c r="E822" s="217"/>
      <c r="F822" s="9"/>
      <c r="G822" s="119"/>
      <c r="H822" s="119"/>
      <c r="I822" s="119"/>
      <c r="J822" s="11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ht="15.75" customHeight="1">
      <c r="A823" s="9"/>
      <c r="B823" s="9"/>
      <c r="C823" s="9"/>
      <c r="D823" s="9"/>
      <c r="E823" s="217"/>
      <c r="F823" s="9"/>
      <c r="G823" s="119"/>
      <c r="H823" s="119"/>
      <c r="I823" s="119"/>
      <c r="J823" s="11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ht="15.75" customHeight="1">
      <c r="A824" s="9"/>
      <c r="B824" s="9"/>
      <c r="C824" s="9"/>
      <c r="D824" s="9"/>
      <c r="E824" s="217"/>
      <c r="F824" s="9"/>
      <c r="G824" s="119"/>
      <c r="H824" s="119"/>
      <c r="I824" s="119"/>
      <c r="J824" s="11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ht="15.75" customHeight="1">
      <c r="A825" s="9"/>
      <c r="B825" s="9"/>
      <c r="C825" s="9"/>
      <c r="D825" s="9"/>
      <c r="E825" s="217"/>
      <c r="F825" s="9"/>
      <c r="G825" s="119"/>
      <c r="H825" s="119"/>
      <c r="I825" s="119"/>
      <c r="J825" s="11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ht="15.75" customHeight="1">
      <c r="A826" s="9"/>
      <c r="B826" s="9"/>
      <c r="C826" s="9"/>
      <c r="D826" s="9"/>
      <c r="E826" s="217"/>
      <c r="F826" s="9"/>
      <c r="G826" s="119"/>
      <c r="H826" s="119"/>
      <c r="I826" s="119"/>
      <c r="J826" s="11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ht="15.75" customHeight="1">
      <c r="A827" s="9"/>
      <c r="B827" s="9"/>
      <c r="C827" s="9"/>
      <c r="D827" s="9"/>
      <c r="E827" s="217"/>
      <c r="F827" s="9"/>
      <c r="G827" s="119"/>
      <c r="H827" s="119"/>
      <c r="I827" s="119"/>
      <c r="J827" s="11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ht="15.75" customHeight="1">
      <c r="A828" s="9"/>
      <c r="B828" s="9"/>
      <c r="C828" s="9"/>
      <c r="D828" s="9"/>
      <c r="E828" s="217"/>
      <c r="F828" s="9"/>
      <c r="G828" s="119"/>
      <c r="H828" s="119"/>
      <c r="I828" s="119"/>
      <c r="J828" s="11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ht="15.75" customHeight="1">
      <c r="A829" s="9"/>
      <c r="B829" s="9"/>
      <c r="C829" s="9"/>
      <c r="D829" s="9"/>
      <c r="E829" s="217"/>
      <c r="F829" s="9"/>
      <c r="G829" s="119"/>
      <c r="H829" s="119"/>
      <c r="I829" s="119"/>
      <c r="J829" s="11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ht="15.75" customHeight="1">
      <c r="A830" s="9"/>
      <c r="B830" s="9"/>
      <c r="C830" s="9"/>
      <c r="D830" s="9"/>
      <c r="E830" s="217"/>
      <c r="F830" s="9"/>
      <c r="G830" s="119"/>
      <c r="H830" s="119"/>
      <c r="I830" s="119"/>
      <c r="J830" s="11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ht="15.75" customHeight="1">
      <c r="A831" s="9"/>
      <c r="B831" s="9"/>
      <c r="C831" s="9"/>
      <c r="D831" s="9"/>
      <c r="E831" s="217"/>
      <c r="F831" s="9"/>
      <c r="G831" s="119"/>
      <c r="H831" s="119"/>
      <c r="I831" s="119"/>
      <c r="J831" s="11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ht="15.75" customHeight="1">
      <c r="A832" s="9"/>
      <c r="B832" s="9"/>
      <c r="C832" s="9"/>
      <c r="D832" s="9"/>
      <c r="E832" s="217"/>
      <c r="F832" s="9"/>
      <c r="G832" s="119"/>
      <c r="H832" s="119"/>
      <c r="I832" s="119"/>
      <c r="J832" s="11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ht="15.75" customHeight="1">
      <c r="A833" s="9"/>
      <c r="B833" s="9"/>
      <c r="C833" s="9"/>
      <c r="D833" s="9"/>
      <c r="E833" s="217"/>
      <c r="F833" s="9"/>
      <c r="G833" s="119"/>
      <c r="H833" s="119"/>
      <c r="I833" s="119"/>
      <c r="J833" s="11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ht="15.75" customHeight="1">
      <c r="A834" s="9"/>
      <c r="B834" s="9"/>
      <c r="C834" s="9"/>
      <c r="D834" s="9"/>
      <c r="E834" s="217"/>
      <c r="F834" s="9"/>
      <c r="G834" s="119"/>
      <c r="H834" s="119"/>
      <c r="I834" s="119"/>
      <c r="J834" s="11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ht="15.75" customHeight="1">
      <c r="A835" s="9"/>
      <c r="B835" s="9"/>
      <c r="C835" s="9"/>
      <c r="D835" s="9"/>
      <c r="E835" s="217"/>
      <c r="F835" s="9"/>
      <c r="G835" s="119"/>
      <c r="H835" s="119"/>
      <c r="I835" s="119"/>
      <c r="J835" s="11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ht="15.75" customHeight="1">
      <c r="A836" s="9"/>
      <c r="B836" s="9"/>
      <c r="C836" s="9"/>
      <c r="D836" s="9"/>
      <c r="E836" s="217"/>
      <c r="F836" s="9"/>
      <c r="G836" s="119"/>
      <c r="H836" s="119"/>
      <c r="I836" s="119"/>
      <c r="J836" s="11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ht="15.75" customHeight="1">
      <c r="A837" s="9"/>
      <c r="B837" s="9"/>
      <c r="C837" s="9"/>
      <c r="D837" s="9"/>
      <c r="E837" s="217"/>
      <c r="F837" s="9"/>
      <c r="G837" s="119"/>
      <c r="H837" s="119"/>
      <c r="I837" s="119"/>
      <c r="J837" s="11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ht="15.75" customHeight="1">
      <c r="A838" s="9"/>
      <c r="B838" s="9"/>
      <c r="C838" s="9"/>
      <c r="D838" s="9"/>
      <c r="E838" s="217"/>
      <c r="F838" s="9"/>
      <c r="G838" s="119"/>
      <c r="H838" s="119"/>
      <c r="I838" s="119"/>
      <c r="J838" s="11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ht="15.75" customHeight="1">
      <c r="A839" s="9"/>
      <c r="B839" s="9"/>
      <c r="C839" s="9"/>
      <c r="D839" s="9"/>
      <c r="E839" s="217"/>
      <c r="F839" s="9"/>
      <c r="G839" s="119"/>
      <c r="H839" s="119"/>
      <c r="I839" s="119"/>
      <c r="J839" s="11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ht="15.75" customHeight="1">
      <c r="A840" s="9"/>
      <c r="B840" s="9"/>
      <c r="C840" s="9"/>
      <c r="D840" s="9"/>
      <c r="E840" s="217"/>
      <c r="F840" s="9"/>
      <c r="G840" s="119"/>
      <c r="H840" s="119"/>
      <c r="I840" s="119"/>
      <c r="J840" s="11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ht="15.75" customHeight="1">
      <c r="A841" s="9"/>
      <c r="B841" s="9"/>
      <c r="C841" s="9"/>
      <c r="D841" s="9"/>
      <c r="E841" s="217"/>
      <c r="F841" s="9"/>
      <c r="G841" s="119"/>
      <c r="H841" s="119"/>
      <c r="I841" s="119"/>
      <c r="J841" s="11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ht="15.75" customHeight="1">
      <c r="A842" s="9"/>
      <c r="B842" s="9"/>
      <c r="C842" s="9"/>
      <c r="D842" s="9"/>
      <c r="E842" s="217"/>
      <c r="F842" s="9"/>
      <c r="G842" s="119"/>
      <c r="H842" s="119"/>
      <c r="I842" s="119"/>
      <c r="J842" s="11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ht="15.75" customHeight="1">
      <c r="A843" s="9"/>
      <c r="B843" s="9"/>
      <c r="C843" s="9"/>
      <c r="D843" s="9"/>
      <c r="E843" s="217"/>
      <c r="F843" s="9"/>
      <c r="G843" s="119"/>
      <c r="H843" s="119"/>
      <c r="I843" s="119"/>
      <c r="J843" s="11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ht="15.75" customHeight="1">
      <c r="A844" s="9"/>
      <c r="B844" s="9"/>
      <c r="C844" s="9"/>
      <c r="D844" s="9"/>
      <c r="E844" s="217"/>
      <c r="F844" s="9"/>
      <c r="G844" s="119"/>
      <c r="H844" s="119"/>
      <c r="I844" s="119"/>
      <c r="J844" s="11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ht="15.75" customHeight="1">
      <c r="A845" s="9"/>
      <c r="B845" s="9"/>
      <c r="C845" s="9"/>
      <c r="D845" s="9"/>
      <c r="E845" s="217"/>
      <c r="F845" s="9"/>
      <c r="G845" s="119"/>
      <c r="H845" s="119"/>
      <c r="I845" s="119"/>
      <c r="J845" s="11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ht="15.75" customHeight="1">
      <c r="A846" s="9"/>
      <c r="B846" s="9"/>
      <c r="C846" s="9"/>
      <c r="D846" s="9"/>
      <c r="E846" s="217"/>
      <c r="F846" s="9"/>
      <c r="G846" s="119"/>
      <c r="H846" s="119"/>
      <c r="I846" s="119"/>
      <c r="J846" s="11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ht="15.75" customHeight="1">
      <c r="A847" s="9"/>
      <c r="B847" s="9"/>
      <c r="C847" s="9"/>
      <c r="D847" s="9"/>
      <c r="E847" s="217"/>
      <c r="F847" s="9"/>
      <c r="G847" s="119"/>
      <c r="H847" s="119"/>
      <c r="I847" s="119"/>
      <c r="J847" s="11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ht="15.75" customHeight="1">
      <c r="A848" s="9"/>
      <c r="B848" s="9"/>
      <c r="C848" s="9"/>
      <c r="D848" s="9"/>
      <c r="E848" s="217"/>
      <c r="F848" s="9"/>
      <c r="G848" s="119"/>
      <c r="H848" s="119"/>
      <c r="I848" s="119"/>
      <c r="J848" s="11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ht="15.75" customHeight="1">
      <c r="A849" s="9"/>
      <c r="B849" s="9"/>
      <c r="C849" s="9"/>
      <c r="D849" s="9"/>
      <c r="E849" s="217"/>
      <c r="F849" s="9"/>
      <c r="G849" s="119"/>
      <c r="H849" s="119"/>
      <c r="I849" s="119"/>
      <c r="J849" s="11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ht="15.75" customHeight="1">
      <c r="A850" s="9"/>
      <c r="B850" s="9"/>
      <c r="C850" s="9"/>
      <c r="D850" s="9"/>
      <c r="E850" s="217"/>
      <c r="F850" s="9"/>
      <c r="G850" s="119"/>
      <c r="H850" s="119"/>
      <c r="I850" s="119"/>
      <c r="J850" s="11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ht="15.75" customHeight="1">
      <c r="A851" s="9"/>
      <c r="B851" s="9"/>
      <c r="C851" s="9"/>
      <c r="D851" s="9"/>
      <c r="E851" s="217"/>
      <c r="F851" s="9"/>
      <c r="G851" s="119"/>
      <c r="H851" s="119"/>
      <c r="I851" s="119"/>
      <c r="J851" s="11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ht="15.75" customHeight="1">
      <c r="A852" s="9"/>
      <c r="B852" s="9"/>
      <c r="C852" s="9"/>
      <c r="D852" s="9"/>
      <c r="E852" s="217"/>
      <c r="F852" s="9"/>
      <c r="G852" s="119"/>
      <c r="H852" s="119"/>
      <c r="I852" s="119"/>
      <c r="J852" s="11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ht="15.75" customHeight="1">
      <c r="A853" s="9"/>
      <c r="B853" s="9"/>
      <c r="C853" s="9"/>
      <c r="D853" s="9"/>
      <c r="E853" s="217"/>
      <c r="F853" s="9"/>
      <c r="G853" s="119"/>
      <c r="H853" s="119"/>
      <c r="I853" s="119"/>
      <c r="J853" s="11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ht="15.75" customHeight="1">
      <c r="A854" s="9"/>
      <c r="B854" s="9"/>
      <c r="C854" s="9"/>
      <c r="D854" s="9"/>
      <c r="E854" s="217"/>
      <c r="F854" s="9"/>
      <c r="G854" s="119"/>
      <c r="H854" s="119"/>
      <c r="I854" s="119"/>
      <c r="J854" s="11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ht="15.75" customHeight="1">
      <c r="A855" s="9"/>
      <c r="B855" s="9"/>
      <c r="C855" s="9"/>
      <c r="D855" s="9"/>
      <c r="E855" s="217"/>
      <c r="F855" s="9"/>
      <c r="G855" s="119"/>
      <c r="H855" s="119"/>
      <c r="I855" s="119"/>
      <c r="J855" s="11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ht="15.75" customHeight="1">
      <c r="A856" s="9"/>
      <c r="B856" s="9"/>
      <c r="C856" s="9"/>
      <c r="D856" s="9"/>
      <c r="E856" s="217"/>
      <c r="F856" s="9"/>
      <c r="G856" s="119"/>
      <c r="H856" s="119"/>
      <c r="I856" s="119"/>
      <c r="J856" s="11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ht="15.75" customHeight="1">
      <c r="A857" s="9"/>
      <c r="B857" s="9"/>
      <c r="C857" s="9"/>
      <c r="D857" s="9"/>
      <c r="E857" s="217"/>
      <c r="F857" s="9"/>
      <c r="G857" s="119"/>
      <c r="H857" s="119"/>
      <c r="I857" s="119"/>
      <c r="J857" s="11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ht="15.75" customHeight="1">
      <c r="A858" s="9"/>
      <c r="B858" s="9"/>
      <c r="C858" s="9"/>
      <c r="D858" s="9"/>
      <c r="E858" s="217"/>
      <c r="F858" s="9"/>
      <c r="G858" s="119"/>
      <c r="H858" s="119"/>
      <c r="I858" s="119"/>
      <c r="J858" s="11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ht="15.75" customHeight="1">
      <c r="A859" s="9"/>
      <c r="B859" s="9"/>
      <c r="C859" s="9"/>
      <c r="D859" s="9"/>
      <c r="E859" s="217"/>
      <c r="F859" s="9"/>
      <c r="G859" s="119"/>
      <c r="H859" s="119"/>
      <c r="I859" s="119"/>
      <c r="J859" s="11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ht="15.75" customHeight="1">
      <c r="A860" s="9"/>
      <c r="B860" s="9"/>
      <c r="C860" s="9"/>
      <c r="D860" s="9"/>
      <c r="E860" s="217"/>
      <c r="F860" s="9"/>
      <c r="G860" s="119"/>
      <c r="H860" s="119"/>
      <c r="I860" s="119"/>
      <c r="J860" s="11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ht="15.75" customHeight="1">
      <c r="A861" s="9"/>
      <c r="B861" s="9"/>
      <c r="C861" s="9"/>
      <c r="D861" s="9"/>
      <c r="E861" s="217"/>
      <c r="F861" s="9"/>
      <c r="G861" s="119"/>
      <c r="H861" s="119"/>
      <c r="I861" s="119"/>
      <c r="J861" s="11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ht="15.75" customHeight="1">
      <c r="A862" s="9"/>
      <c r="B862" s="9"/>
      <c r="C862" s="9"/>
      <c r="D862" s="9"/>
      <c r="E862" s="217"/>
      <c r="F862" s="9"/>
      <c r="G862" s="119"/>
      <c r="H862" s="119"/>
      <c r="I862" s="119"/>
      <c r="J862" s="11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ht="15.75" customHeight="1">
      <c r="A863" s="9"/>
      <c r="B863" s="9"/>
      <c r="C863" s="9"/>
      <c r="D863" s="9"/>
      <c r="E863" s="217"/>
      <c r="F863" s="9"/>
      <c r="G863" s="119"/>
      <c r="H863" s="119"/>
      <c r="I863" s="119"/>
      <c r="J863" s="11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ht="15.75" customHeight="1">
      <c r="A864" s="9"/>
      <c r="B864" s="9"/>
      <c r="C864" s="9"/>
      <c r="D864" s="9"/>
      <c r="E864" s="217"/>
      <c r="F864" s="9"/>
      <c r="G864" s="119"/>
      <c r="H864" s="119"/>
      <c r="I864" s="119"/>
      <c r="J864" s="11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ht="15.75" customHeight="1">
      <c r="A865" s="9"/>
      <c r="B865" s="9"/>
      <c r="C865" s="9"/>
      <c r="D865" s="9"/>
      <c r="E865" s="217"/>
      <c r="F865" s="9"/>
      <c r="G865" s="119"/>
      <c r="H865" s="119"/>
      <c r="I865" s="119"/>
      <c r="J865" s="11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ht="15.75" customHeight="1">
      <c r="A866" s="9"/>
      <c r="B866" s="9"/>
      <c r="C866" s="9"/>
      <c r="D866" s="9"/>
      <c r="E866" s="217"/>
      <c r="F866" s="9"/>
      <c r="G866" s="119"/>
      <c r="H866" s="119"/>
      <c r="I866" s="119"/>
      <c r="J866" s="11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ht="15.75" customHeight="1">
      <c r="A867" s="9"/>
      <c r="B867" s="9"/>
      <c r="C867" s="9"/>
      <c r="D867" s="9"/>
      <c r="E867" s="217"/>
      <c r="F867" s="9"/>
      <c r="G867" s="119"/>
      <c r="H867" s="119"/>
      <c r="I867" s="119"/>
      <c r="J867" s="11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ht="15.75" customHeight="1">
      <c r="A868" s="9"/>
      <c r="B868" s="9"/>
      <c r="C868" s="9"/>
      <c r="D868" s="9"/>
      <c r="E868" s="217"/>
      <c r="F868" s="9"/>
      <c r="G868" s="119"/>
      <c r="H868" s="119"/>
      <c r="I868" s="119"/>
      <c r="J868" s="11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ht="15.75" customHeight="1">
      <c r="A869" s="9"/>
      <c r="B869" s="9"/>
      <c r="C869" s="9"/>
      <c r="D869" s="9"/>
      <c r="E869" s="217"/>
      <c r="F869" s="9"/>
      <c r="G869" s="119"/>
      <c r="H869" s="119"/>
      <c r="I869" s="119"/>
      <c r="J869" s="11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ht="15.75" customHeight="1">
      <c r="A870" s="9"/>
      <c r="B870" s="9"/>
      <c r="C870" s="9"/>
      <c r="D870" s="9"/>
      <c r="E870" s="217"/>
      <c r="F870" s="9"/>
      <c r="G870" s="119"/>
      <c r="H870" s="119"/>
      <c r="I870" s="119"/>
      <c r="J870" s="11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ht="15.75" customHeight="1">
      <c r="A871" s="9"/>
      <c r="B871" s="9"/>
      <c r="C871" s="9"/>
      <c r="D871" s="9"/>
      <c r="E871" s="217"/>
      <c r="F871" s="9"/>
      <c r="G871" s="119"/>
      <c r="H871" s="119"/>
      <c r="I871" s="119"/>
      <c r="J871" s="11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ht="15.75" customHeight="1">
      <c r="A872" s="9"/>
      <c r="B872" s="9"/>
      <c r="C872" s="9"/>
      <c r="D872" s="9"/>
      <c r="E872" s="217"/>
      <c r="F872" s="9"/>
      <c r="G872" s="119"/>
      <c r="H872" s="119"/>
      <c r="I872" s="119"/>
      <c r="J872" s="11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ht="15.75" customHeight="1">
      <c r="A873" s="9"/>
      <c r="B873" s="9"/>
      <c r="C873" s="9"/>
      <c r="D873" s="9"/>
      <c r="E873" s="217"/>
      <c r="F873" s="9"/>
      <c r="G873" s="119"/>
      <c r="H873" s="119"/>
      <c r="I873" s="119"/>
      <c r="J873" s="11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ht="15.75" customHeight="1">
      <c r="A874" s="9"/>
      <c r="B874" s="9"/>
      <c r="C874" s="9"/>
      <c r="D874" s="9"/>
      <c r="E874" s="217"/>
      <c r="F874" s="9"/>
      <c r="G874" s="119"/>
      <c r="H874" s="119"/>
      <c r="I874" s="119"/>
      <c r="J874" s="11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ht="15.75" customHeight="1">
      <c r="A875" s="9"/>
      <c r="B875" s="9"/>
      <c r="C875" s="9"/>
      <c r="D875" s="9"/>
      <c r="E875" s="217"/>
      <c r="F875" s="9"/>
      <c r="G875" s="119"/>
      <c r="H875" s="119"/>
      <c r="I875" s="119"/>
      <c r="J875" s="11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ht="15.75" customHeight="1">
      <c r="A876" s="9"/>
      <c r="B876" s="9"/>
      <c r="C876" s="9"/>
      <c r="D876" s="9"/>
      <c r="E876" s="217"/>
      <c r="F876" s="9"/>
      <c r="G876" s="119"/>
      <c r="H876" s="119"/>
      <c r="I876" s="119"/>
      <c r="J876" s="11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ht="15.75" customHeight="1">
      <c r="A877" s="9"/>
      <c r="B877" s="9"/>
      <c r="C877" s="9"/>
      <c r="D877" s="9"/>
      <c r="E877" s="217"/>
      <c r="F877" s="9"/>
      <c r="G877" s="119"/>
      <c r="H877" s="119"/>
      <c r="I877" s="119"/>
      <c r="J877" s="11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ht="15.75" customHeight="1">
      <c r="A878" s="9"/>
      <c r="B878" s="9"/>
      <c r="C878" s="9"/>
      <c r="D878" s="9"/>
      <c r="E878" s="217"/>
      <c r="F878" s="9"/>
      <c r="G878" s="119"/>
      <c r="H878" s="119"/>
      <c r="I878" s="119"/>
      <c r="J878" s="11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ht="15.75" customHeight="1">
      <c r="A879" s="9"/>
      <c r="B879" s="9"/>
      <c r="C879" s="9"/>
      <c r="D879" s="9"/>
      <c r="E879" s="217"/>
      <c r="F879" s="9"/>
      <c r="G879" s="119"/>
      <c r="H879" s="119"/>
      <c r="I879" s="119"/>
      <c r="J879" s="11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ht="15.75" customHeight="1">
      <c r="A880" s="9"/>
      <c r="B880" s="9"/>
      <c r="C880" s="9"/>
      <c r="D880" s="9"/>
      <c r="E880" s="217"/>
      <c r="F880" s="9"/>
      <c r="G880" s="119"/>
      <c r="H880" s="119"/>
      <c r="I880" s="119"/>
      <c r="J880" s="11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ht="15.75" customHeight="1">
      <c r="A881" s="9"/>
      <c r="B881" s="9"/>
      <c r="C881" s="9"/>
      <c r="D881" s="9"/>
      <c r="E881" s="217"/>
      <c r="F881" s="9"/>
      <c r="G881" s="119"/>
      <c r="H881" s="119"/>
      <c r="I881" s="119"/>
      <c r="J881" s="11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ht="15.75" customHeight="1">
      <c r="A882" s="9"/>
      <c r="B882" s="9"/>
      <c r="C882" s="9"/>
      <c r="D882" s="9"/>
      <c r="E882" s="217"/>
      <c r="F882" s="9"/>
      <c r="G882" s="119"/>
      <c r="H882" s="119"/>
      <c r="I882" s="119"/>
      <c r="J882" s="11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ht="15.75" customHeight="1">
      <c r="A883" s="9"/>
      <c r="B883" s="9"/>
      <c r="C883" s="9"/>
      <c r="D883" s="9"/>
      <c r="E883" s="217"/>
      <c r="F883" s="9"/>
      <c r="G883" s="119"/>
      <c r="H883" s="119"/>
      <c r="I883" s="119"/>
      <c r="J883" s="11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ht="15.75" customHeight="1">
      <c r="A884" s="9"/>
      <c r="B884" s="9"/>
      <c r="C884" s="9"/>
      <c r="D884" s="9"/>
      <c r="E884" s="217"/>
      <c r="F884" s="9"/>
      <c r="G884" s="119"/>
      <c r="H884" s="119"/>
      <c r="I884" s="119"/>
      <c r="J884" s="11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ht="15.75" customHeight="1">
      <c r="A885" s="9"/>
      <c r="B885" s="9"/>
      <c r="C885" s="9"/>
      <c r="D885" s="9"/>
      <c r="E885" s="217"/>
      <c r="F885" s="9"/>
      <c r="G885" s="119"/>
      <c r="H885" s="119"/>
      <c r="I885" s="119"/>
      <c r="J885" s="11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ht="15.75" customHeight="1">
      <c r="A886" s="9"/>
      <c r="B886" s="9"/>
      <c r="C886" s="9"/>
      <c r="D886" s="9"/>
      <c r="E886" s="217"/>
      <c r="F886" s="9"/>
      <c r="G886" s="119"/>
      <c r="H886" s="119"/>
      <c r="I886" s="119"/>
      <c r="J886" s="11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ht="15.75" customHeight="1">
      <c r="A887" s="9"/>
      <c r="B887" s="9"/>
      <c r="C887" s="9"/>
      <c r="D887" s="9"/>
      <c r="E887" s="217"/>
      <c r="F887" s="9"/>
      <c r="G887" s="119"/>
      <c r="H887" s="119"/>
      <c r="I887" s="119"/>
      <c r="J887" s="11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ht="15.75" customHeight="1">
      <c r="A888" s="9"/>
      <c r="B888" s="9"/>
      <c r="C888" s="9"/>
      <c r="D888" s="9"/>
      <c r="E888" s="217"/>
      <c r="F888" s="9"/>
      <c r="G888" s="119"/>
      <c r="H888" s="119"/>
      <c r="I888" s="119"/>
      <c r="J888" s="11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ht="15.75" customHeight="1">
      <c r="A889" s="9"/>
      <c r="B889" s="9"/>
      <c r="C889" s="9"/>
      <c r="D889" s="9"/>
      <c r="E889" s="217"/>
      <c r="F889" s="9"/>
      <c r="G889" s="119"/>
      <c r="H889" s="119"/>
      <c r="I889" s="119"/>
      <c r="J889" s="11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ht="15.75" customHeight="1">
      <c r="A890" s="9"/>
      <c r="B890" s="9"/>
      <c r="C890" s="9"/>
      <c r="D890" s="9"/>
      <c r="E890" s="217"/>
      <c r="F890" s="9"/>
      <c r="G890" s="119"/>
      <c r="H890" s="119"/>
      <c r="I890" s="119"/>
      <c r="J890" s="11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ht="15.75" customHeight="1">
      <c r="A891" s="9"/>
      <c r="B891" s="9"/>
      <c r="C891" s="9"/>
      <c r="D891" s="9"/>
      <c r="E891" s="217"/>
      <c r="F891" s="9"/>
      <c r="G891" s="119"/>
      <c r="H891" s="119"/>
      <c r="I891" s="119"/>
      <c r="J891" s="11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ht="15.75" customHeight="1">
      <c r="A892" s="9"/>
      <c r="B892" s="9"/>
      <c r="C892" s="9"/>
      <c r="D892" s="9"/>
      <c r="E892" s="217"/>
      <c r="F892" s="9"/>
      <c r="G892" s="119"/>
      <c r="H892" s="119"/>
      <c r="I892" s="119"/>
      <c r="J892" s="11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ht="15.75" customHeight="1">
      <c r="A893" s="9"/>
      <c r="B893" s="9"/>
      <c r="C893" s="9"/>
      <c r="D893" s="9"/>
      <c r="E893" s="217"/>
      <c r="F893" s="9"/>
      <c r="G893" s="119"/>
      <c r="H893" s="119"/>
      <c r="I893" s="119"/>
      <c r="J893" s="11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ht="15.75" customHeight="1">
      <c r="A894" s="9"/>
      <c r="B894" s="9"/>
      <c r="C894" s="9"/>
      <c r="D894" s="9"/>
      <c r="E894" s="217"/>
      <c r="F894" s="9"/>
      <c r="G894" s="119"/>
      <c r="H894" s="119"/>
      <c r="I894" s="119"/>
      <c r="J894" s="11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ht="15.75" customHeight="1">
      <c r="A895" s="9"/>
      <c r="B895" s="9"/>
      <c r="C895" s="9"/>
      <c r="D895" s="9"/>
      <c r="E895" s="217"/>
      <c r="F895" s="9"/>
      <c r="G895" s="119"/>
      <c r="H895" s="119"/>
      <c r="I895" s="119"/>
      <c r="J895" s="11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ht="15.75" customHeight="1">
      <c r="A896" s="9"/>
      <c r="B896" s="9"/>
      <c r="C896" s="9"/>
      <c r="D896" s="9"/>
      <c r="E896" s="217"/>
      <c r="F896" s="9"/>
      <c r="G896" s="119"/>
      <c r="H896" s="119"/>
      <c r="I896" s="119"/>
      <c r="J896" s="11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ht="15.75" customHeight="1">
      <c r="A897" s="9"/>
      <c r="B897" s="9"/>
      <c r="C897" s="9"/>
      <c r="D897" s="9"/>
      <c r="E897" s="217"/>
      <c r="F897" s="9"/>
      <c r="G897" s="119"/>
      <c r="H897" s="119"/>
      <c r="I897" s="119"/>
      <c r="J897" s="11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ht="15.75" customHeight="1">
      <c r="A898" s="9"/>
      <c r="B898" s="9"/>
      <c r="C898" s="9"/>
      <c r="D898" s="9"/>
      <c r="E898" s="217"/>
      <c r="F898" s="9"/>
      <c r="G898" s="119"/>
      <c r="H898" s="119"/>
      <c r="I898" s="119"/>
      <c r="J898" s="11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ht="15.75" customHeight="1">
      <c r="A899" s="9"/>
      <c r="B899" s="9"/>
      <c r="C899" s="9"/>
      <c r="D899" s="9"/>
      <c r="E899" s="217"/>
      <c r="F899" s="9"/>
      <c r="G899" s="119"/>
      <c r="H899" s="119"/>
      <c r="I899" s="119"/>
      <c r="J899" s="11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ht="15.75" customHeight="1">
      <c r="A900" s="9"/>
      <c r="B900" s="9"/>
      <c r="C900" s="9"/>
      <c r="D900" s="9"/>
      <c r="E900" s="217"/>
      <c r="F900" s="9"/>
      <c r="G900" s="119"/>
      <c r="H900" s="119"/>
      <c r="I900" s="119"/>
      <c r="J900" s="11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ht="15.75" customHeight="1">
      <c r="A901" s="9"/>
      <c r="B901" s="9"/>
      <c r="C901" s="9"/>
      <c r="D901" s="9"/>
      <c r="E901" s="217"/>
      <c r="F901" s="9"/>
      <c r="G901" s="119"/>
      <c r="H901" s="119"/>
      <c r="I901" s="119"/>
      <c r="J901" s="11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ht="15.75" customHeight="1">
      <c r="A902" s="9"/>
      <c r="B902" s="9"/>
      <c r="C902" s="9"/>
      <c r="D902" s="9"/>
      <c r="E902" s="217"/>
      <c r="F902" s="9"/>
      <c r="G902" s="119"/>
      <c r="H902" s="119"/>
      <c r="I902" s="119"/>
      <c r="J902" s="11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ht="15.75" customHeight="1">
      <c r="A903" s="9"/>
      <c r="B903" s="9"/>
      <c r="C903" s="9"/>
      <c r="D903" s="9"/>
      <c r="E903" s="217"/>
      <c r="F903" s="9"/>
      <c r="G903" s="119"/>
      <c r="H903" s="119"/>
      <c r="I903" s="119"/>
      <c r="J903" s="11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ht="15.75" customHeight="1">
      <c r="A904" s="9"/>
      <c r="B904" s="9"/>
      <c r="C904" s="9"/>
      <c r="D904" s="9"/>
      <c r="E904" s="217"/>
      <c r="F904" s="9"/>
      <c r="G904" s="119"/>
      <c r="H904" s="119"/>
      <c r="I904" s="119"/>
      <c r="J904" s="11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ht="15.75" customHeight="1">
      <c r="A905" s="9"/>
      <c r="B905" s="9"/>
      <c r="C905" s="9"/>
      <c r="D905" s="9"/>
      <c r="E905" s="217"/>
      <c r="F905" s="9"/>
      <c r="G905" s="119"/>
      <c r="H905" s="119"/>
      <c r="I905" s="119"/>
      <c r="J905" s="11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ht="15.75" customHeight="1">
      <c r="A906" s="9"/>
      <c r="B906" s="9"/>
      <c r="C906" s="9"/>
      <c r="D906" s="9"/>
      <c r="E906" s="217"/>
      <c r="F906" s="9"/>
      <c r="G906" s="119"/>
      <c r="H906" s="119"/>
      <c r="I906" s="119"/>
      <c r="J906" s="11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ht="15.75" customHeight="1">
      <c r="A907" s="9"/>
      <c r="B907" s="9"/>
      <c r="C907" s="9"/>
      <c r="D907" s="9"/>
      <c r="E907" s="217"/>
      <c r="F907" s="9"/>
      <c r="G907" s="119"/>
      <c r="H907" s="119"/>
      <c r="I907" s="119"/>
      <c r="J907" s="11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ht="15.75" customHeight="1">
      <c r="A908" s="9"/>
      <c r="B908" s="9"/>
      <c r="C908" s="9"/>
      <c r="D908" s="9"/>
      <c r="E908" s="217"/>
      <c r="F908" s="9"/>
      <c r="G908" s="119"/>
      <c r="H908" s="119"/>
      <c r="I908" s="119"/>
      <c r="J908" s="11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ht="15.75" customHeight="1">
      <c r="A909" s="9"/>
      <c r="B909" s="9"/>
      <c r="C909" s="9"/>
      <c r="D909" s="9"/>
      <c r="E909" s="217"/>
      <c r="F909" s="9"/>
      <c r="G909" s="119"/>
      <c r="H909" s="119"/>
      <c r="I909" s="119"/>
      <c r="J909" s="11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ht="15.75" customHeight="1">
      <c r="A910" s="9"/>
      <c r="B910" s="9"/>
      <c r="C910" s="9"/>
      <c r="D910" s="9"/>
      <c r="E910" s="217"/>
      <c r="F910" s="9"/>
      <c r="G910" s="119"/>
      <c r="H910" s="119"/>
      <c r="I910" s="119"/>
      <c r="J910" s="11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ht="15.75" customHeight="1">
      <c r="A911" s="9"/>
      <c r="B911" s="9"/>
      <c r="C911" s="9"/>
      <c r="D911" s="9"/>
      <c r="E911" s="217"/>
      <c r="F911" s="9"/>
      <c r="G911" s="119"/>
      <c r="H911" s="119"/>
      <c r="I911" s="119"/>
      <c r="J911" s="11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ht="15.75" customHeight="1">
      <c r="A912" s="9"/>
      <c r="B912" s="9"/>
      <c r="C912" s="9"/>
      <c r="D912" s="9"/>
      <c r="E912" s="217"/>
      <c r="F912" s="9"/>
      <c r="G912" s="119"/>
      <c r="H912" s="119"/>
      <c r="I912" s="119"/>
      <c r="J912" s="11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ht="15.75" customHeight="1">
      <c r="A913" s="9"/>
      <c r="B913" s="9"/>
      <c r="C913" s="9"/>
      <c r="D913" s="9"/>
      <c r="E913" s="217"/>
      <c r="F913" s="9"/>
      <c r="G913" s="119"/>
      <c r="H913" s="119"/>
      <c r="I913" s="119"/>
      <c r="J913" s="11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ht="15.75" customHeight="1">
      <c r="A914" s="9"/>
      <c r="B914" s="9"/>
      <c r="C914" s="9"/>
      <c r="D914" s="9"/>
      <c r="E914" s="217"/>
      <c r="F914" s="9"/>
      <c r="G914" s="119"/>
      <c r="H914" s="119"/>
      <c r="I914" s="119"/>
      <c r="J914" s="11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ht="15.75" customHeight="1">
      <c r="A915" s="9"/>
      <c r="B915" s="9"/>
      <c r="C915" s="9"/>
      <c r="D915" s="9"/>
      <c r="E915" s="217"/>
      <c r="F915" s="9"/>
      <c r="G915" s="119"/>
      <c r="H915" s="119"/>
      <c r="I915" s="119"/>
      <c r="J915" s="11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ht="15.75" customHeight="1">
      <c r="A916" s="9"/>
      <c r="B916" s="9"/>
      <c r="C916" s="9"/>
      <c r="D916" s="9"/>
      <c r="E916" s="217"/>
      <c r="F916" s="9"/>
      <c r="G916" s="119"/>
      <c r="H916" s="119"/>
      <c r="I916" s="119"/>
      <c r="J916" s="11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ht="15.75" customHeight="1">
      <c r="A917" s="9"/>
      <c r="B917" s="9"/>
      <c r="C917" s="9"/>
      <c r="D917" s="9"/>
      <c r="E917" s="217"/>
      <c r="F917" s="9"/>
      <c r="G917" s="119"/>
      <c r="H917" s="119"/>
      <c r="I917" s="119"/>
      <c r="J917" s="11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ht="15.75" customHeight="1">
      <c r="A918" s="9"/>
      <c r="B918" s="9"/>
      <c r="C918" s="9"/>
      <c r="D918" s="9"/>
      <c r="E918" s="217"/>
      <c r="F918" s="9"/>
      <c r="G918" s="119"/>
      <c r="H918" s="119"/>
      <c r="I918" s="119"/>
      <c r="J918" s="11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ht="15.75" customHeight="1">
      <c r="A919" s="9"/>
      <c r="B919" s="9"/>
      <c r="C919" s="9"/>
      <c r="D919" s="9"/>
      <c r="E919" s="217"/>
      <c r="F919" s="9"/>
      <c r="G919" s="119"/>
      <c r="H919" s="119"/>
      <c r="I919" s="119"/>
      <c r="J919" s="11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ht="15.75" customHeight="1">
      <c r="A920" s="9"/>
      <c r="B920" s="9"/>
      <c r="C920" s="9"/>
      <c r="D920" s="9"/>
      <c r="E920" s="217"/>
      <c r="F920" s="9"/>
      <c r="G920" s="119"/>
      <c r="H920" s="119"/>
      <c r="I920" s="119"/>
      <c r="J920" s="11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ht="15.75" customHeight="1">
      <c r="A921" s="9"/>
      <c r="B921" s="9"/>
      <c r="C921" s="9"/>
      <c r="D921" s="9"/>
      <c r="E921" s="217"/>
      <c r="F921" s="9"/>
      <c r="G921" s="119"/>
      <c r="H921" s="119"/>
      <c r="I921" s="119"/>
      <c r="J921" s="11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ht="15.75" customHeight="1">
      <c r="A922" s="9"/>
      <c r="B922" s="9"/>
      <c r="C922" s="9"/>
      <c r="D922" s="9"/>
      <c r="E922" s="217"/>
      <c r="F922" s="9"/>
      <c r="G922" s="119"/>
      <c r="H922" s="119"/>
      <c r="I922" s="119"/>
      <c r="J922" s="11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ht="15.75" customHeight="1">
      <c r="A923" s="9"/>
      <c r="B923" s="9"/>
      <c r="C923" s="9"/>
      <c r="D923" s="9"/>
      <c r="E923" s="217"/>
      <c r="F923" s="9"/>
      <c r="G923" s="119"/>
      <c r="H923" s="119"/>
      <c r="I923" s="119"/>
      <c r="J923" s="11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ht="15.75" customHeight="1">
      <c r="A924" s="9"/>
      <c r="B924" s="9"/>
      <c r="C924" s="9"/>
      <c r="D924" s="9"/>
      <c r="E924" s="217"/>
      <c r="F924" s="9"/>
      <c r="G924" s="119"/>
      <c r="H924" s="119"/>
      <c r="I924" s="119"/>
      <c r="J924" s="11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ht="15.75" customHeight="1">
      <c r="A925" s="9"/>
      <c r="B925" s="9"/>
      <c r="C925" s="9"/>
      <c r="D925" s="9"/>
      <c r="E925" s="217"/>
      <c r="F925" s="9"/>
      <c r="G925" s="119"/>
      <c r="H925" s="119"/>
      <c r="I925" s="119"/>
      <c r="J925" s="11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ht="15.75" customHeight="1">
      <c r="A926" s="9"/>
      <c r="B926" s="9"/>
      <c r="C926" s="9"/>
      <c r="D926" s="9"/>
      <c r="E926" s="217"/>
      <c r="F926" s="9"/>
      <c r="G926" s="119"/>
      <c r="H926" s="119"/>
      <c r="I926" s="119"/>
      <c r="J926" s="11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ht="15.75" customHeight="1">
      <c r="A927" s="9"/>
      <c r="B927" s="9"/>
      <c r="C927" s="9"/>
      <c r="D927" s="9"/>
      <c r="E927" s="217"/>
      <c r="F927" s="9"/>
      <c r="G927" s="119"/>
      <c r="H927" s="119"/>
      <c r="I927" s="119"/>
      <c r="J927" s="11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ht="15.75" customHeight="1">
      <c r="A928" s="9"/>
      <c r="B928" s="9"/>
      <c r="C928" s="9"/>
      <c r="D928" s="9"/>
      <c r="E928" s="217"/>
      <c r="F928" s="9"/>
      <c r="G928" s="119"/>
      <c r="H928" s="119"/>
      <c r="I928" s="119"/>
      <c r="J928" s="11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ht="15.75" customHeight="1">
      <c r="A929" s="9"/>
      <c r="B929" s="9"/>
      <c r="C929" s="9"/>
      <c r="D929" s="9"/>
      <c r="E929" s="217"/>
      <c r="F929" s="9"/>
      <c r="G929" s="119"/>
      <c r="H929" s="119"/>
      <c r="I929" s="119"/>
      <c r="J929" s="11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ht="15.75" customHeight="1">
      <c r="A930" s="9"/>
      <c r="B930" s="9"/>
      <c r="C930" s="9"/>
      <c r="D930" s="9"/>
      <c r="E930" s="217"/>
      <c r="F930" s="9"/>
      <c r="G930" s="119"/>
      <c r="H930" s="119"/>
      <c r="I930" s="119"/>
      <c r="J930" s="11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ht="15.75" customHeight="1">
      <c r="A931" s="9"/>
      <c r="B931" s="9"/>
      <c r="C931" s="9"/>
      <c r="D931" s="9"/>
      <c r="E931" s="217"/>
      <c r="F931" s="9"/>
      <c r="G931" s="119"/>
      <c r="H931" s="119"/>
      <c r="I931" s="119"/>
      <c r="J931" s="11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ht="15.75" customHeight="1">
      <c r="A932" s="9"/>
      <c r="B932" s="9"/>
      <c r="C932" s="9"/>
      <c r="D932" s="9"/>
      <c r="E932" s="217"/>
      <c r="F932" s="9"/>
      <c r="G932" s="119"/>
      <c r="H932" s="119"/>
      <c r="I932" s="119"/>
      <c r="J932" s="11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ht="15.75" customHeight="1">
      <c r="A933" s="9"/>
      <c r="B933" s="9"/>
      <c r="C933" s="9"/>
      <c r="D933" s="9"/>
      <c r="E933" s="217"/>
      <c r="F933" s="9"/>
      <c r="G933" s="119"/>
      <c r="H933" s="119"/>
      <c r="I933" s="119"/>
      <c r="J933" s="11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ht="15.75" customHeight="1">
      <c r="A934" s="9"/>
      <c r="B934" s="9"/>
      <c r="C934" s="9"/>
      <c r="D934" s="9"/>
      <c r="E934" s="217"/>
      <c r="F934" s="9"/>
      <c r="G934" s="119"/>
      <c r="H934" s="119"/>
      <c r="I934" s="119"/>
      <c r="J934" s="11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ht="15.75" customHeight="1">
      <c r="A935" s="9"/>
      <c r="B935" s="9"/>
      <c r="C935" s="9"/>
      <c r="D935" s="9"/>
      <c r="E935" s="217"/>
      <c r="F935" s="9"/>
      <c r="G935" s="119"/>
      <c r="H935" s="119"/>
      <c r="I935" s="119"/>
      <c r="J935" s="11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ht="15.75" customHeight="1">
      <c r="A936" s="9"/>
      <c r="B936" s="9"/>
      <c r="C936" s="9"/>
      <c r="D936" s="9"/>
      <c r="E936" s="217"/>
      <c r="F936" s="9"/>
      <c r="G936" s="119"/>
      <c r="H936" s="119"/>
      <c r="I936" s="119"/>
      <c r="J936" s="11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ht="15.75" customHeight="1">
      <c r="A937" s="9"/>
      <c r="B937" s="9"/>
      <c r="C937" s="9"/>
      <c r="D937" s="9"/>
      <c r="E937" s="217"/>
      <c r="F937" s="9"/>
      <c r="G937" s="119"/>
      <c r="H937" s="119"/>
      <c r="I937" s="119"/>
      <c r="J937" s="11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ht="15.75" customHeight="1">
      <c r="A938" s="9"/>
      <c r="B938" s="9"/>
      <c r="C938" s="9"/>
      <c r="D938" s="9"/>
      <c r="E938" s="217"/>
      <c r="F938" s="9"/>
      <c r="G938" s="119"/>
      <c r="H938" s="119"/>
      <c r="I938" s="119"/>
      <c r="J938" s="11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ht="15.75" customHeight="1">
      <c r="A939" s="9"/>
      <c r="B939" s="9"/>
      <c r="C939" s="9"/>
      <c r="D939" s="9"/>
      <c r="E939" s="217"/>
      <c r="F939" s="9"/>
      <c r="G939" s="119"/>
      <c r="H939" s="119"/>
      <c r="I939" s="119"/>
      <c r="J939" s="11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ht="15.75" customHeight="1">
      <c r="A940" s="9"/>
      <c r="B940" s="9"/>
      <c r="C940" s="9"/>
      <c r="D940" s="9"/>
      <c r="E940" s="217"/>
      <c r="F940" s="9"/>
      <c r="G940" s="119"/>
      <c r="H940" s="119"/>
      <c r="I940" s="119"/>
      <c r="J940" s="11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ht="15.75" customHeight="1">
      <c r="A941" s="9"/>
      <c r="B941" s="9"/>
      <c r="C941" s="9"/>
      <c r="D941" s="9"/>
      <c r="E941" s="217"/>
      <c r="F941" s="9"/>
      <c r="G941" s="119"/>
      <c r="H941" s="119"/>
      <c r="I941" s="119"/>
      <c r="J941" s="11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ht="15.75" customHeight="1">
      <c r="A942" s="9"/>
      <c r="B942" s="9"/>
      <c r="C942" s="9"/>
      <c r="D942" s="9"/>
      <c r="E942" s="217"/>
      <c r="F942" s="9"/>
      <c r="G942" s="119"/>
      <c r="H942" s="119"/>
      <c r="I942" s="119"/>
      <c r="J942" s="11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ht="15.75" customHeight="1">
      <c r="A943" s="9"/>
      <c r="B943" s="9"/>
      <c r="C943" s="9"/>
      <c r="D943" s="9"/>
      <c r="E943" s="217"/>
      <c r="F943" s="9"/>
      <c r="G943" s="119"/>
      <c r="H943" s="119"/>
      <c r="I943" s="119"/>
      <c r="J943" s="11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ht="15.75" customHeight="1">
      <c r="A944" s="9"/>
      <c r="B944" s="9"/>
      <c r="C944" s="9"/>
      <c r="D944" s="9"/>
      <c r="E944" s="217"/>
      <c r="F944" s="9"/>
      <c r="G944" s="119"/>
      <c r="H944" s="119"/>
      <c r="I944" s="119"/>
      <c r="J944" s="11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ht="15.75" customHeight="1">
      <c r="A945" s="9"/>
      <c r="B945" s="9"/>
      <c r="C945" s="9"/>
      <c r="D945" s="9"/>
      <c r="E945" s="217"/>
      <c r="F945" s="9"/>
      <c r="G945" s="119"/>
      <c r="H945" s="119"/>
      <c r="I945" s="119"/>
      <c r="J945" s="11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ht="15.75" customHeight="1">
      <c r="A946" s="9"/>
      <c r="B946" s="9"/>
      <c r="C946" s="9"/>
      <c r="D946" s="9"/>
      <c r="E946" s="217"/>
      <c r="F946" s="9"/>
      <c r="G946" s="119"/>
      <c r="H946" s="119"/>
      <c r="I946" s="119"/>
      <c r="J946" s="11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ht="15.75" customHeight="1">
      <c r="A947" s="9"/>
      <c r="B947" s="9"/>
      <c r="C947" s="9"/>
      <c r="D947" s="9"/>
      <c r="E947" s="217"/>
      <c r="F947" s="9"/>
      <c r="G947" s="119"/>
      <c r="H947" s="119"/>
      <c r="I947" s="119"/>
      <c r="J947" s="11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ht="15.75" customHeight="1">
      <c r="A948" s="9"/>
      <c r="B948" s="9"/>
      <c r="C948" s="9"/>
      <c r="D948" s="9"/>
      <c r="E948" s="217"/>
      <c r="F948" s="9"/>
      <c r="G948" s="119"/>
      <c r="H948" s="119"/>
      <c r="I948" s="119"/>
      <c r="J948" s="11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ht="15.75" customHeight="1">
      <c r="A949" s="9"/>
      <c r="B949" s="9"/>
      <c r="C949" s="9"/>
      <c r="D949" s="9"/>
      <c r="E949" s="217"/>
      <c r="F949" s="9"/>
      <c r="G949" s="119"/>
      <c r="H949" s="119"/>
      <c r="I949" s="119"/>
      <c r="J949" s="11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ht="15.75" customHeight="1">
      <c r="A950" s="9"/>
      <c r="B950" s="9"/>
      <c r="C950" s="9"/>
      <c r="D950" s="9"/>
      <c r="E950" s="217"/>
      <c r="F950" s="9"/>
      <c r="G950" s="119"/>
      <c r="H950" s="119"/>
      <c r="I950" s="119"/>
      <c r="J950" s="11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ht="15.75" customHeight="1">
      <c r="A951" s="9"/>
      <c r="B951" s="9"/>
      <c r="C951" s="9"/>
      <c r="D951" s="9"/>
      <c r="E951" s="217"/>
      <c r="F951" s="9"/>
      <c r="G951" s="119"/>
      <c r="H951" s="119"/>
      <c r="I951" s="119"/>
      <c r="J951" s="11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ht="15.75" customHeight="1">
      <c r="A952" s="9"/>
      <c r="B952" s="9"/>
      <c r="C952" s="9"/>
      <c r="D952" s="9"/>
      <c r="E952" s="217"/>
      <c r="F952" s="9"/>
      <c r="G952" s="119"/>
      <c r="H952" s="119"/>
      <c r="I952" s="119"/>
      <c r="J952" s="11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ht="15.75" customHeight="1">
      <c r="A953" s="9"/>
      <c r="B953" s="9"/>
      <c r="C953" s="9"/>
      <c r="D953" s="9"/>
      <c r="E953" s="217"/>
      <c r="F953" s="9"/>
      <c r="G953" s="119"/>
      <c r="H953" s="119"/>
      <c r="I953" s="119"/>
      <c r="J953" s="11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ht="15.75" customHeight="1">
      <c r="A954" s="9"/>
      <c r="B954" s="9"/>
      <c r="C954" s="9"/>
      <c r="D954" s="9"/>
      <c r="E954" s="217"/>
      <c r="F954" s="9"/>
      <c r="G954" s="119"/>
      <c r="H954" s="119"/>
      <c r="I954" s="119"/>
      <c r="J954" s="11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ht="15.75" customHeight="1">
      <c r="A955" s="9"/>
      <c r="B955" s="9"/>
      <c r="C955" s="9"/>
      <c r="D955" s="9"/>
      <c r="E955" s="217"/>
      <c r="F955" s="9"/>
      <c r="G955" s="119"/>
      <c r="H955" s="119"/>
      <c r="I955" s="119"/>
      <c r="J955" s="11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ht="15.75" customHeight="1">
      <c r="A956" s="9"/>
      <c r="B956" s="9"/>
      <c r="C956" s="9"/>
      <c r="D956" s="9"/>
      <c r="E956" s="217"/>
      <c r="F956" s="9"/>
      <c r="G956" s="119"/>
      <c r="H956" s="119"/>
      <c r="I956" s="119"/>
      <c r="J956" s="11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ht="15.75" customHeight="1">
      <c r="A957" s="9"/>
      <c r="B957" s="9"/>
      <c r="C957" s="9"/>
      <c r="D957" s="9"/>
      <c r="E957" s="217"/>
      <c r="F957" s="9"/>
      <c r="G957" s="119"/>
      <c r="H957" s="119"/>
      <c r="I957" s="119"/>
      <c r="J957" s="11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ht="15.75" customHeight="1">
      <c r="A958" s="9"/>
      <c r="B958" s="9"/>
      <c r="C958" s="9"/>
      <c r="D958" s="9"/>
      <c r="E958" s="217"/>
      <c r="F958" s="9"/>
      <c r="G958" s="119"/>
      <c r="H958" s="119"/>
      <c r="I958" s="119"/>
      <c r="J958" s="11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ht="15.75" customHeight="1">
      <c r="A959" s="9"/>
      <c r="B959" s="9"/>
      <c r="C959" s="9"/>
      <c r="D959" s="9"/>
      <c r="E959" s="217"/>
      <c r="F959" s="9"/>
      <c r="G959" s="119"/>
      <c r="H959" s="119"/>
      <c r="I959" s="119"/>
      <c r="J959" s="11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ht="15.75" customHeight="1">
      <c r="A960" s="9"/>
      <c r="B960" s="9"/>
      <c r="C960" s="9"/>
      <c r="D960" s="9"/>
      <c r="E960" s="217"/>
      <c r="F960" s="9"/>
      <c r="G960" s="119"/>
      <c r="H960" s="119"/>
      <c r="I960" s="119"/>
      <c r="J960" s="11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ht="15.75" customHeight="1">
      <c r="A961" s="9"/>
      <c r="B961" s="9"/>
      <c r="C961" s="9"/>
      <c r="D961" s="9"/>
      <c r="E961" s="217"/>
      <c r="F961" s="9"/>
      <c r="G961" s="119"/>
      <c r="H961" s="119"/>
      <c r="I961" s="119"/>
      <c r="J961" s="11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ht="15.75" customHeight="1">
      <c r="A962" s="9"/>
      <c r="B962" s="9"/>
      <c r="C962" s="9"/>
      <c r="D962" s="9"/>
      <c r="E962" s="217"/>
      <c r="F962" s="9"/>
      <c r="G962" s="119"/>
      <c r="H962" s="119"/>
      <c r="I962" s="119"/>
      <c r="J962" s="11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ht="15.75" customHeight="1">
      <c r="A963" s="9"/>
      <c r="B963" s="9"/>
      <c r="C963" s="9"/>
      <c r="D963" s="9"/>
      <c r="E963" s="217"/>
      <c r="F963" s="9"/>
      <c r="G963" s="119"/>
      <c r="H963" s="119"/>
      <c r="I963" s="119"/>
      <c r="J963" s="11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ht="15.75" customHeight="1">
      <c r="A964" s="9"/>
      <c r="B964" s="9"/>
      <c r="C964" s="9"/>
      <c r="D964" s="9"/>
      <c r="E964" s="217"/>
      <c r="F964" s="9"/>
      <c r="G964" s="119"/>
      <c r="H964" s="119"/>
      <c r="I964" s="119"/>
      <c r="J964" s="11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ht="15.75" customHeight="1">
      <c r="A965" s="9"/>
      <c r="B965" s="9"/>
      <c r="C965" s="9"/>
      <c r="D965" s="9"/>
      <c r="E965" s="217"/>
      <c r="F965" s="9"/>
      <c r="G965" s="119"/>
      <c r="H965" s="119"/>
      <c r="I965" s="119"/>
      <c r="J965" s="11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ht="15.75" customHeight="1">
      <c r="A966" s="9"/>
      <c r="B966" s="9"/>
      <c r="C966" s="9"/>
      <c r="D966" s="9"/>
      <c r="E966" s="217"/>
      <c r="F966" s="9"/>
      <c r="G966" s="119"/>
      <c r="H966" s="119"/>
      <c r="I966" s="119"/>
      <c r="J966" s="11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ht="15.75" customHeight="1">
      <c r="A967" s="9"/>
      <c r="B967" s="9"/>
      <c r="C967" s="9"/>
      <c r="D967" s="9"/>
      <c r="E967" s="217"/>
      <c r="F967" s="9"/>
      <c r="G967" s="119"/>
      <c r="H967" s="119"/>
      <c r="I967" s="119"/>
      <c r="J967" s="11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ht="15.75" customHeight="1">
      <c r="A968" s="9"/>
      <c r="B968" s="9"/>
      <c r="C968" s="9"/>
      <c r="D968" s="9"/>
      <c r="E968" s="217"/>
      <c r="F968" s="9"/>
      <c r="G968" s="119"/>
      <c r="H968" s="119"/>
      <c r="I968" s="119"/>
      <c r="J968" s="11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ht="15.75" customHeight="1">
      <c r="A969" s="9"/>
      <c r="B969" s="9"/>
      <c r="C969" s="9"/>
      <c r="D969" s="9"/>
      <c r="E969" s="217"/>
      <c r="F969" s="9"/>
      <c r="G969" s="119"/>
      <c r="H969" s="119"/>
      <c r="I969" s="119"/>
      <c r="J969" s="11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ht="15.75" customHeight="1">
      <c r="A970" s="9"/>
      <c r="B970" s="9"/>
      <c r="C970" s="9"/>
      <c r="D970" s="9"/>
      <c r="E970" s="217"/>
      <c r="F970" s="9"/>
      <c r="G970" s="119"/>
      <c r="H970" s="119"/>
      <c r="I970" s="119"/>
      <c r="J970" s="11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ht="15.75" customHeight="1">
      <c r="A971" s="9"/>
      <c r="B971" s="9"/>
      <c r="C971" s="9"/>
      <c r="D971" s="9"/>
      <c r="E971" s="217"/>
      <c r="F971" s="9"/>
      <c r="G971" s="119"/>
      <c r="H971" s="119"/>
      <c r="I971" s="119"/>
      <c r="J971" s="11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ht="15.75" customHeight="1">
      <c r="A972" s="9"/>
      <c r="B972" s="9"/>
      <c r="C972" s="9"/>
      <c r="D972" s="9"/>
      <c r="E972" s="217"/>
      <c r="F972" s="9"/>
      <c r="G972" s="119"/>
      <c r="H972" s="119"/>
      <c r="I972" s="119"/>
      <c r="J972" s="11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ht="15.75" customHeight="1">
      <c r="A973" s="9"/>
      <c r="B973" s="9"/>
      <c r="C973" s="9"/>
      <c r="D973" s="9"/>
      <c r="E973" s="217"/>
      <c r="F973" s="9"/>
      <c r="G973" s="119"/>
      <c r="H973" s="119"/>
      <c r="I973" s="119"/>
      <c r="J973" s="11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ht="15.75" customHeight="1">
      <c r="A974" s="9"/>
      <c r="B974" s="9"/>
      <c r="C974" s="9"/>
      <c r="D974" s="9"/>
      <c r="E974" s="217"/>
      <c r="F974" s="9"/>
      <c r="G974" s="119"/>
      <c r="H974" s="119"/>
      <c r="I974" s="119"/>
      <c r="J974" s="11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ht="15.75" customHeight="1">
      <c r="A975" s="9"/>
      <c r="B975" s="9"/>
      <c r="C975" s="9"/>
      <c r="D975" s="9"/>
      <c r="E975" s="217"/>
      <c r="F975" s="9"/>
      <c r="G975" s="119"/>
      <c r="H975" s="119"/>
      <c r="I975" s="119"/>
      <c r="J975" s="11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ht="15.75" customHeight="1">
      <c r="A976" s="9"/>
      <c r="B976" s="9"/>
      <c r="C976" s="9"/>
      <c r="D976" s="9"/>
      <c r="E976" s="217"/>
      <c r="F976" s="9"/>
      <c r="G976" s="119"/>
      <c r="H976" s="119"/>
      <c r="I976" s="119"/>
      <c r="J976" s="11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ht="15.75" customHeight="1">
      <c r="A977" s="9"/>
      <c r="B977" s="9"/>
      <c r="C977" s="9"/>
      <c r="D977" s="9"/>
      <c r="E977" s="217"/>
      <c r="F977" s="9"/>
      <c r="G977" s="119"/>
      <c r="H977" s="119"/>
      <c r="I977" s="119"/>
      <c r="J977" s="11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ht="15.75" customHeight="1">
      <c r="A978" s="9"/>
      <c r="B978" s="9"/>
      <c r="C978" s="9"/>
      <c r="D978" s="9"/>
      <c r="E978" s="217"/>
      <c r="F978" s="9"/>
      <c r="G978" s="119"/>
      <c r="H978" s="119"/>
      <c r="I978" s="119"/>
      <c r="J978" s="11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ht="15.75" customHeight="1">
      <c r="A979" s="9"/>
      <c r="B979" s="9"/>
      <c r="C979" s="9"/>
      <c r="D979" s="9"/>
      <c r="E979" s="217"/>
      <c r="F979" s="9"/>
      <c r="G979" s="119"/>
      <c r="H979" s="119"/>
      <c r="I979" s="119"/>
      <c r="J979" s="11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ht="15.75" customHeight="1">
      <c r="A980" s="9"/>
      <c r="B980" s="9"/>
      <c r="C980" s="9"/>
      <c r="D980" s="9"/>
      <c r="E980" s="217"/>
      <c r="F980" s="9"/>
      <c r="G980" s="119"/>
      <c r="H980" s="119"/>
      <c r="I980" s="119"/>
      <c r="J980" s="11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ht="15.75" customHeight="1">
      <c r="A981" s="9"/>
      <c r="B981" s="9"/>
      <c r="C981" s="9"/>
      <c r="D981" s="9"/>
      <c r="E981" s="217"/>
      <c r="F981" s="9"/>
      <c r="G981" s="119"/>
      <c r="H981" s="119"/>
      <c r="I981" s="119"/>
      <c r="J981" s="11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ht="15.75" customHeight="1">
      <c r="A982" s="9"/>
      <c r="B982" s="9"/>
      <c r="C982" s="9"/>
      <c r="D982" s="9"/>
      <c r="E982" s="217"/>
      <c r="F982" s="9"/>
      <c r="G982" s="119"/>
      <c r="H982" s="119"/>
      <c r="I982" s="119"/>
      <c r="J982" s="11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ht="15.75" customHeight="1">
      <c r="A983" s="9"/>
      <c r="B983" s="9"/>
      <c r="C983" s="9"/>
      <c r="D983" s="9"/>
      <c r="E983" s="217"/>
      <c r="F983" s="9"/>
      <c r="G983" s="119"/>
      <c r="H983" s="119"/>
      <c r="I983" s="119"/>
      <c r="J983" s="11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ht="15.75" customHeight="1">
      <c r="A984" s="9"/>
      <c r="B984" s="9"/>
      <c r="C984" s="9"/>
      <c r="D984" s="9"/>
      <c r="E984" s="217"/>
      <c r="F984" s="9"/>
      <c r="G984" s="119"/>
      <c r="H984" s="119"/>
      <c r="I984" s="119"/>
      <c r="J984" s="11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ht="15.75" customHeight="1">
      <c r="A985" s="9"/>
      <c r="B985" s="9"/>
      <c r="C985" s="9"/>
      <c r="D985" s="9"/>
      <c r="E985" s="217"/>
      <c r="F985" s="9"/>
      <c r="G985" s="119"/>
      <c r="H985" s="119"/>
      <c r="I985" s="119"/>
      <c r="J985" s="11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ht="15.75" customHeight="1">
      <c r="A986" s="9"/>
      <c r="B986" s="9"/>
      <c r="C986" s="9"/>
      <c r="D986" s="9"/>
      <c r="E986" s="217"/>
      <c r="F986" s="9"/>
      <c r="G986" s="119"/>
      <c r="H986" s="119"/>
      <c r="I986" s="119"/>
      <c r="J986" s="11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ht="15.75" customHeight="1">
      <c r="A987" s="9"/>
      <c r="B987" s="9"/>
      <c r="C987" s="9"/>
      <c r="D987" s="9"/>
      <c r="E987" s="217"/>
      <c r="F987" s="9"/>
      <c r="G987" s="119"/>
      <c r="H987" s="119"/>
      <c r="I987" s="119"/>
      <c r="J987" s="11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ht="15.75" customHeight="1">
      <c r="A988" s="9"/>
      <c r="B988" s="9"/>
      <c r="C988" s="9"/>
      <c r="D988" s="9"/>
      <c r="E988" s="217"/>
      <c r="F988" s="9"/>
      <c r="G988" s="119"/>
      <c r="H988" s="119"/>
      <c r="I988" s="119"/>
      <c r="J988" s="11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ht="15.75" customHeight="1">
      <c r="A989" s="9"/>
      <c r="B989" s="9"/>
      <c r="C989" s="9"/>
      <c r="D989" s="9"/>
      <c r="E989" s="217"/>
      <c r="F989" s="9"/>
      <c r="G989" s="119"/>
      <c r="H989" s="119"/>
      <c r="I989" s="119"/>
      <c r="J989" s="11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ht="15.75" customHeight="1">
      <c r="A990" s="9"/>
      <c r="B990" s="9"/>
      <c r="C990" s="9"/>
      <c r="D990" s="9"/>
      <c r="E990" s="217"/>
      <c r="F990" s="9"/>
      <c r="G990" s="119"/>
      <c r="H990" s="119"/>
      <c r="I990" s="119"/>
      <c r="J990" s="11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ht="15.75" customHeight="1">
      <c r="A991" s="9"/>
      <c r="B991" s="9"/>
      <c r="C991" s="9"/>
      <c r="D991" s="9"/>
      <c r="E991" s="217"/>
      <c r="F991" s="9"/>
      <c r="G991" s="119"/>
      <c r="H991" s="119"/>
      <c r="I991" s="119"/>
      <c r="J991" s="11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ht="15.75" customHeight="1">
      <c r="A992" s="9"/>
      <c r="B992" s="9"/>
      <c r="C992" s="9"/>
      <c r="D992" s="9"/>
      <c r="E992" s="217"/>
      <c r="F992" s="9"/>
      <c r="G992" s="119"/>
      <c r="H992" s="119"/>
      <c r="I992" s="119"/>
      <c r="J992" s="11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ht="15.75" customHeight="1">
      <c r="A993" s="9"/>
      <c r="B993" s="9"/>
      <c r="C993" s="9"/>
      <c r="D993" s="9"/>
      <c r="E993" s="217"/>
      <c r="F993" s="9"/>
      <c r="G993" s="119"/>
      <c r="H993" s="119"/>
      <c r="I993" s="119"/>
      <c r="J993" s="11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ht="15.75" customHeight="1">
      <c r="A994" s="9"/>
      <c r="B994" s="9"/>
      <c r="C994" s="9"/>
      <c r="D994" s="9"/>
      <c r="E994" s="217"/>
      <c r="F994" s="9"/>
      <c r="G994" s="119"/>
      <c r="H994" s="119"/>
      <c r="I994" s="119"/>
      <c r="J994" s="11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ht="15.75" customHeight="1">
      <c r="A995" s="9"/>
      <c r="B995" s="9"/>
      <c r="C995" s="9"/>
      <c r="D995" s="9"/>
      <c r="E995" s="217"/>
      <c r="F995" s="9"/>
      <c r="G995" s="119"/>
      <c r="H995" s="119"/>
      <c r="I995" s="119"/>
      <c r="J995" s="11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ht="15.75" customHeight="1">
      <c r="A996" s="9"/>
      <c r="B996" s="9"/>
      <c r="C996" s="9"/>
      <c r="D996" s="9"/>
      <c r="E996" s="217"/>
      <c r="F996" s="9"/>
      <c r="G996" s="119"/>
      <c r="H996" s="119"/>
      <c r="I996" s="119"/>
      <c r="J996" s="11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ht="15.75" customHeight="1">
      <c r="A997" s="9"/>
      <c r="B997" s="9"/>
      <c r="C997" s="9"/>
      <c r="D997" s="9"/>
      <c r="E997" s="217"/>
      <c r="F997" s="9"/>
      <c r="G997" s="119"/>
      <c r="H997" s="119"/>
      <c r="I997" s="119"/>
      <c r="J997" s="11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ht="15.75" customHeight="1">
      <c r="A998" s="9"/>
      <c r="B998" s="9"/>
      <c r="C998" s="9"/>
      <c r="D998" s="9"/>
      <c r="E998" s="217"/>
      <c r="F998" s="9"/>
      <c r="G998" s="119"/>
      <c r="H998" s="119"/>
      <c r="I998" s="119"/>
      <c r="J998" s="11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ht="15.75" customHeight="1">
      <c r="A999" s="9"/>
      <c r="B999" s="9"/>
      <c r="C999" s="9"/>
      <c r="D999" s="9"/>
      <c r="E999" s="217"/>
      <c r="F999" s="9"/>
      <c r="G999" s="119"/>
      <c r="H999" s="119"/>
      <c r="I999" s="119"/>
      <c r="J999" s="11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ht="15.75" customHeight="1">
      <c r="A1000" s="9"/>
      <c r="B1000" s="9"/>
      <c r="C1000" s="9"/>
      <c r="D1000" s="9"/>
      <c r="E1000" s="217"/>
      <c r="F1000" s="9"/>
      <c r="G1000" s="119"/>
      <c r="H1000" s="119"/>
      <c r="I1000" s="119"/>
      <c r="J1000" s="11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21">
    <mergeCell ref="A2:F2"/>
    <mergeCell ref="A4:M4"/>
    <mergeCell ref="B5:B7"/>
    <mergeCell ref="B8:B13"/>
    <mergeCell ref="B14:B17"/>
    <mergeCell ref="B18:B23"/>
    <mergeCell ref="A24:M24"/>
    <mergeCell ref="A67:M67"/>
    <mergeCell ref="A72:M72"/>
    <mergeCell ref="A77:M77"/>
    <mergeCell ref="A82:M82"/>
    <mergeCell ref="A87:M87"/>
    <mergeCell ref="A92:M92"/>
    <mergeCell ref="A99:M99"/>
    <mergeCell ref="B25:B27"/>
    <mergeCell ref="B29:B30"/>
    <mergeCell ref="A36:M36"/>
    <mergeCell ref="A42:M42"/>
    <mergeCell ref="A48:M48"/>
    <mergeCell ref="A53:M53"/>
    <mergeCell ref="A59:M5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2014-12-30T08:43:18Z</dcterms:created>
  <dc:creator>piyush.agrawal</dc:creator>
</cp:coreProperties>
</file>